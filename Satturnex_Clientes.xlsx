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de Leads" sheetId="1" r:id="rId5"/>
    <sheet state="visible" name="Painel" sheetId="2" r:id="rId6"/>
    <sheet state="visible" name="Mensagens" sheetId="3" r:id="rId7"/>
    <sheet state="visible" name="Acordo da dupla" sheetId="4" r:id="rId8"/>
    <sheet state="visible" name="Custo de Referencia" sheetId="5" r:id="rId9"/>
    <sheet state="visible" name="Negociar" sheetId="6" r:id="rId10"/>
    <sheet state="visible" name="Calculadora" sheetId="7" r:id="rId11"/>
    <sheet state="visible" name="Finanças" sheetId="8" r:id="rId12"/>
  </sheets>
  <definedNames>
    <definedName hidden="1" localSheetId="0" name="Z_E68AA6DD_ED45_43FC_B904_5BF0DBC60F62_.wvu.FilterData">'CRM de Leads'!$A$4:$U$24</definedName>
  </definedNames>
  <calcPr/>
  <customWorkbookViews>
    <customWorkbookView activeSheetId="0" maximized="1" windowHeight="0" windowWidth="0" guid="{E68AA6DD-ED45-43FC-B904-5BF0DBC60F62}" name="CRMLeads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Inclua custos acordados do projeto, como domínio, hospedagem paga e outras despesas.</t>
      </text>
    </comment>
    <comment authorId="0" ref="B29">
      <text>
        <t xml:space="preserve">Preencha com o valor efetivamente recebido, não apenas o valor da proposta.</t>
      </text>
    </comment>
  </commentList>
</comments>
</file>

<file path=xl/sharedStrings.xml><?xml version="1.0" encoding="utf-8"?>
<sst xmlns="http://schemas.openxmlformats.org/spreadsheetml/2006/main" count="585" uniqueCount="327">
  <si>
    <t>SATTURNEX  |  BIBLIOTECA DE MENSAGENS</t>
  </si>
  <si>
    <t>SATTURNEX  |  PAINEL COMERCIAL</t>
  </si>
  <si>
    <t>Personalize com o nome do negócio e um detalhe real. Evite disparos genéricos.</t>
  </si>
  <si>
    <t>Visão rápida do funil, das responsabilidades e da meta de vendas.</t>
  </si>
  <si>
    <t>1. Primeira abordagem (WhatsApp)</t>
  </si>
  <si>
    <t>Olá! Tudo bem? Aqui é [NOME] da Satturnex. A gente desenvolve soluções digitais para pequenos negócios. Conheci o perfil da [EMPRESA] e queria entender se hoje vocês usam algum site ou página para apresentar os serviços e receber contatos. Posso te fazer uma pergunta rápida?</t>
  </si>
  <si>
    <t>Indicador</t>
  </si>
  <si>
    <t>SATTURNEX  |  FLUXO DE TRABALHO DA DUPLA</t>
  </si>
  <si>
    <t>SATTURNEX  |  CRM DE PROSPECÇÃO COMERCIAL</t>
  </si>
  <si>
    <t>Resultado</t>
  </si>
  <si>
    <t>Etapa comercial</t>
  </si>
  <si>
    <t>Quantidade</t>
  </si>
  <si>
    <t>Responsável</t>
  </si>
  <si>
    <t>Leads</t>
  </si>
  <si>
    <t>Leads na lista</t>
  </si>
  <si>
    <t>Clientes potenciais • Navegantes/SC • Registre cada interação e mantenha o próximo passo definido.</t>
  </si>
  <si>
    <t>ID</t>
  </si>
  <si>
    <t>Atividade</t>
  </si>
  <si>
    <t>Responsável sugerido</t>
  </si>
  <si>
    <t>O que registrar</t>
  </si>
  <si>
    <t>Quando passar para o outro</t>
  </si>
  <si>
    <t>Pesquisa e qualificação</t>
  </si>
  <si>
    <t>Negócio</t>
  </si>
  <si>
    <t>Ambos</t>
  </si>
  <si>
    <t>Segmento</t>
  </si>
  <si>
    <t>Site atual, Instagram, contato válido, necessidade provável</t>
  </si>
  <si>
    <t>Cidade</t>
  </si>
  <si>
    <t>Quando o lead estiver conferido</t>
  </si>
  <si>
    <t>Não contatado</t>
  </si>
  <si>
    <t>Telefone listado</t>
  </si>
  <si>
    <t>Primeiro contato e conversa</t>
  </si>
  <si>
    <t>Instagram / rede social</t>
  </si>
  <si>
    <t>Site atual</t>
  </si>
  <si>
    <t>Manel</t>
  </si>
  <si>
    <t>Site verificado?</t>
  </si>
  <si>
    <t>2. Se responder que não tem site</t>
  </si>
  <si>
    <t>Data, resposta, necessidade, objeções e próximo passo</t>
  </si>
  <si>
    <t>Fonte</t>
  </si>
  <si>
    <t>Quando houver interesse ou pedido de demonstração</t>
  </si>
  <si>
    <t>Prioridade</t>
  </si>
  <si>
    <t>Demonstração e solução técnica</t>
  </si>
  <si>
    <t>Gustavo</t>
  </si>
  <si>
    <t>Responsável Satturnex</t>
  </si>
  <si>
    <t>Ideia visual, escopo, funcionalidades e limitações</t>
  </si>
  <si>
    <t>Após validar a necessidade com o cliente</t>
  </si>
  <si>
    <t>Proposta e negociação</t>
  </si>
  <si>
    <t>Manel + Gustavo</t>
  </si>
  <si>
    <t>Último contato</t>
  </si>
  <si>
    <t>Preço, escopo, prazo, pagamento e validade da proposta</t>
  </si>
  <si>
    <t>Próxima ação</t>
  </si>
  <si>
    <t>Entendi! A ideia não é complicar a rotina de vocês: podemos montar uma página profissional, adaptada ao celular, com serviços, fotos, localização e um botão direto para o WhatsApp. Se fizer sentido, posso te mostrar uma demonstração visual para a [EMPRESA].</t>
  </si>
  <si>
    <t>Antes de confirmar o fechamento</t>
  </si>
  <si>
    <t>Execução do projeto</t>
  </si>
  <si>
    <t>Data follow-up</t>
  </si>
  <si>
    <t>Gustavo (com apoio combinado)</t>
  </si>
  <si>
    <t>Materiais recebidos, tarefas, aprovações e entregas</t>
  </si>
  <si>
    <t>Em cada marco acordado</t>
  </si>
  <si>
    <t>Ainda não contatados</t>
  </si>
  <si>
    <t>Pós-venda e indicação</t>
  </si>
  <si>
    <t>Serviço de interesse</t>
  </si>
  <si>
    <t>Satisfação, ajustes combinados e possibilidade de indicação</t>
  </si>
  <si>
    <t>Após a entrega</t>
  </si>
  <si>
    <t>Valor ofertado (R$)</t>
  </si>
  <si>
    <t>Valor fechado (R$)</t>
  </si>
  <si>
    <t>Regra prática: cada lead tem um responsável principal. A divisão financeira dos projetos será 50/50 entre Gustavo e Manel, conforme o acordo. Registrem custos e recebimentos antes de calcular o valor líquido.</t>
  </si>
  <si>
    <t>3. Se já tiver Instagram, mas não site</t>
  </si>
  <si>
    <t>Chance (%)</t>
  </si>
  <si>
    <t>Notas da conversa</t>
  </si>
  <si>
    <t>Legal, o Instagram ajuda bastante. Um site pode complementar isso reunindo serviços, informações e formas de contato em um só lugar, sem substituir as redes sociais. Hoje vocês sentem falta de alguma coisa que seria útil para os clientes encontrarem mais facilmente?</t>
  </si>
  <si>
    <t>Dados conferidos?</t>
  </si>
  <si>
    <t>4. Follow-up após 2–3 dias</t>
  </si>
  <si>
    <t>Contato enviado</t>
  </si>
  <si>
    <t>Barbearia 660</t>
  </si>
  <si>
    <t>Oi! Tudo bem? Passando para retomar minha mensagem sobre a presença digital da [EMPRESA]. Se melhorar a apresentação dos serviços ou facilitar os contatos estiver nos planos de vocês, posso mostrar uma ideia objetiva. Se não for prioridade agora, sem problema.</t>
  </si>
  <si>
    <t>Barbearia</t>
  </si>
  <si>
    <t>Navegantes, SC</t>
  </si>
  <si>
    <t>(47) 99927-7233</t>
  </si>
  <si>
    <t>5. Quando demonstrar interesse</t>
  </si>
  <si>
    <t>Perfeito! Para eu sugerir algo que realmente faça sentido, me conta rapidinho: qual serviço ou produto vocês mais querem divulgar e qual ação gostariam que o cliente fizesse — chamar no WhatsApp, pedir orçamento, agendar ou consultar um catálogo?</t>
  </si>
  <si>
    <t>Contatos enviados</t>
  </si>
  <si>
    <t>6. Enviar demonstração</t>
  </si>
  <si>
    <t>Não verificado</t>
  </si>
  <si>
    <t>Preparei uma demonstração de como a página da [EMPRESA] poderia ficar. É apenas uma proposta visual inicial, ainda sem publicação. Se gostar da direção, alinhamos conteúdo, funcionalidades, prazo e investimento antes de iniciar o projeto.</t>
  </si>
  <si>
    <t>https://www.solutudo.com.br/empresas/sc/navegantes/barbearias</t>
  </si>
  <si>
    <t>Respondeu</t>
  </si>
  <si>
    <t>7. Enviar proposta comercial</t>
  </si>
  <si>
    <t>Conforme conversamos, a proposta da Satturnex inclui: [ESCOPO]. Investimento: R$ [VALOR]. Prazo estimado: [PRAZO] após recebermos os materiais e aprovarmos o escopo. Hospedagem, domínio, manutenção e itens adicionais serão definidos claramente na proposta. Se estiver de acordo, combinamos os próximos passos e as condições de pagamento.</t>
  </si>
  <si>
    <t>Respostas / qualificados</t>
  </si>
  <si>
    <t>8. Objeção: 'quanto custa?'</t>
  </si>
  <si>
    <t>O valor depende do que você precisa. Uma página de apresentação com serviços e contato é mais simples do que um catálogo ou sistema de agendamento. Se me disser o principal objetivo, consigo indicar um escopo enxuto e passar um valor claro, sem incluir recursos desnecessários.</t>
  </si>
  <si>
    <t>Alta</t>
  </si>
  <si>
    <t>Qualificado</t>
  </si>
  <si>
    <t>A definir</t>
  </si>
  <si>
    <t>9. Objeção: 'vou pensar'</t>
  </si>
  <si>
    <t>Claro, sem problema! Para eu não ficar te chamando sem necessidade, prefere que eu retome o assunto em algum dia específico ou é melhor deixar em aberto por enquanto?</t>
  </si>
  <si>
    <t>Demonstrações solicitadas</t>
  </si>
  <si>
    <t>Pesquisar Instagram e site</t>
  </si>
  <si>
    <t>10. Encerramento cordial</t>
  </si>
  <si>
    <t>Demonstração solicitada</t>
  </si>
  <si>
    <t>Obrigado pelo retorno e pelo seu tempo! Se a Satturnex puder ajudar a [EMPRESA] com uma solução digital no futuro, fico à disposição. Sucesso para vocês!</t>
  </si>
  <si>
    <t>11. Mensagem para indicação</t>
  </si>
  <si>
    <t>Propostas enviadas</t>
  </si>
  <si>
    <t>Confirmar telefone, Instagram e se já possui site próprio.</t>
  </si>
  <si>
    <t>Oi! Estamos apresentando os serviços da Satturnex para pequenos negócios de Navegantes e região. Você conhece algum comércio ou profissional que esteja precisando de um site, catálogo digital ou uma forma melhor de receber contatos? Se fizer sentido, agradeço a indicação.</t>
  </si>
  <si>
    <t>Pendente</t>
  </si>
  <si>
    <t>Reunião marcada</t>
  </si>
  <si>
    <t>12. Resumo Domínio/Hospedagem</t>
  </si>
  <si>
    <t>Gui Barber Shop</t>
  </si>
  <si>
    <t>Clientes fechados</t>
  </si>
  <si>
    <t>(47) 99968-0543</t>
  </si>
  <si>
    <t>O domínio é o endereço do seu site, enquanto a hospedagem é o serviço que mantém o site disponível na internet. São custos separados do desenvolvimento e podem ter cobranças recorrentes para manter o site funcionando.</t>
  </si>
  <si>
    <t>Proposta enviada</t>
  </si>
  <si>
    <t>Valor total fechado</t>
  </si>
  <si>
    <t>Negociação</t>
  </si>
  <si>
    <t>Meta inicial</t>
  </si>
  <si>
    <t>Fechado</t>
  </si>
  <si>
    <t>Dênis New Barber Shop</t>
  </si>
  <si>
    <t>(47) 98413-7742</t>
  </si>
  <si>
    <t>Falta para a meta</t>
  </si>
  <si>
    <t>Perdido</t>
  </si>
  <si>
    <t>Follow-ups vencidos</t>
  </si>
  <si>
    <t>Barbearia Eloi</t>
  </si>
  <si>
    <t>(47) 98472-9644</t>
  </si>
  <si>
    <t>Sem retorno</t>
  </si>
  <si>
    <t>Rotina sugerida</t>
  </si>
  <si>
    <t>1. Manel: prioriza o contato inicial e registra respostas e objeções.</t>
  </si>
  <si>
    <t>SATTURNEX | CUSTOS DE DOMÍNIO E HOSPEDAGEM</t>
  </si>
  <si>
    <t>2. Gustavo: apoia com demonstrações, escopo, estimativas e execução técnica.</t>
  </si>
  <si>
    <t>JAMES Barbearia</t>
  </si>
  <si>
    <t>3. Definam o responsável por cada lead antes de enviar mensagem para evitar duplicidade.</t>
  </si>
  <si>
    <t>(47) 99108-4929</t>
  </si>
  <si>
    <t>4. Não marque 'Não tem site' sem conferir Google, Instagram e o site informado pelo negócio.</t>
  </si>
  <si>
    <t>5. Todo contato deve terminar com uma próxima ação e uma data de follow-up.</t>
  </si>
  <si>
    <t>Divisão dos projetos</t>
  </si>
  <si>
    <t>50% Gustavo / 50% Manel</t>
  </si>
  <si>
    <t>Calculadora de divisão (preencha custos)</t>
  </si>
  <si>
    <t>Receita recebida (R$)</t>
  </si>
  <si>
    <t>Thay Krause Designer de Unhas</t>
  </si>
  <si>
    <t>Beleza / unhas</t>
  </si>
  <si>
    <t>Custos do projeto (R$)</t>
  </si>
  <si>
    <t>(47) 98432-1226*</t>
  </si>
  <si>
    <t>Resultado líquido (R$)</t>
  </si>
  <si>
    <t>https://www.solutudo.com.br/empresas/sc/navegantes/manicures%2Be%2Bpedicures</t>
  </si>
  <si>
    <t>Parte do Gustavo (50%)</t>
  </si>
  <si>
    <t>Parte do Manel (50%)</t>
  </si>
  <si>
    <t>Telefone marcado com *; confirmar na fonte original antes de usar.</t>
  </si>
  <si>
    <t>Ana Cleude Ribeiro — manicure</t>
  </si>
  <si>
    <t>(47) 99994-9194</t>
  </si>
  <si>
    <t>SATTURNEX | COMO APRESENTAR OS CUSTOS</t>
  </si>
  <si>
    <t>Modelo simples para explicar o que é custo de terceiros e evitar que a empresa absorva renovações sem combinar.</t>
  </si>
  <si>
    <t>Cenário</t>
  </si>
  <si>
    <t>Referência para planejar</t>
  </si>
  <si>
    <t>Como apresentar ao cliente</t>
  </si>
  <si>
    <t>Recomendação</t>
  </si>
  <si>
    <t>Domínio .com.br</t>
  </si>
  <si>
    <t>R$ 40/ano (≈ R$ 3,33/mês)</t>
  </si>
  <si>
    <t>Registro e renovação do domínio: custo anual de terceiros.</t>
  </si>
  <si>
    <t>Preferível registrar no CPF/CNPJ do cliente, com acesso dele.</t>
  </si>
  <si>
    <t>Hospedagem básica</t>
  </si>
  <si>
    <t>Planejar R$ 10–30/mês; validar renovação</t>
  </si>
  <si>
    <t>Hospedagem é recorrente e pode variar conforme plano e promoção.</t>
  </si>
  <si>
    <t>Informe preço promocional, prazo contratado e preço de renovação separadamente.</t>
  </si>
  <si>
    <t>Site simples com hospedagem do cliente</t>
  </si>
  <si>
    <t>Cliente paga diretamente ao provedor</t>
  </si>
  <si>
    <t>Studio N.A.</t>
  </si>
  <si>
    <t>O orçamento do site cobre desenvolvimento; domínio/hospedagem são contratados à parte.</t>
  </si>
  <si>
    <t>Referências para orçamento e negociação • Valores consultados em outubro/2026 • Promoções podem mudar.</t>
  </si>
  <si>
    <t>Mais transparente e reduz risco de custos recorrentes para a Satturnex.</t>
  </si>
  <si>
    <t>Beleza</t>
  </si>
  <si>
    <t>Satturnex administra a hospedagem</t>
  </si>
  <si>
    <t>Cobrar custo + taxa de gestão definida</t>
  </si>
  <si>
    <t>(47) 99619-7921*</t>
  </si>
  <si>
    <t>Mensalidade inclui infraestrutura e o serviço de administração acordado.</t>
  </si>
  <si>
    <t>Especificar suporte, backups, atualizações, limites e prazo de resposta.</t>
  </si>
  <si>
    <t>Projeto com custo anual antecipado</t>
  </si>
  <si>
    <t>Mostrar total anual e equivalente mensal</t>
  </si>
  <si>
    <t>Ex.: domínio R$ 40/ano + hospedagem conforme plano escolhido.</t>
  </si>
  <si>
    <t>Não prometa preço fixo sem confirmar renovação e impostos/taxas.</t>
  </si>
  <si>
    <t>Sugestão comercial: se o cliente quer pagar rápido, separe o valor do desenvolvimento dos custos de domínio/hospedagem. Receba o desenvolvimento conforme o combinado e deixe explícito quem renova os serviços.</t>
  </si>
  <si>
    <t>NT Motopeças</t>
  </si>
  <si>
    <t>Motopeças</t>
  </si>
  <si>
    <t>(47) 99920-8478</t>
  </si>
  <si>
    <t>https://www.solutudo.com.br/empresas/sc/navegantes/oficinas%2Bmotos</t>
  </si>
  <si>
    <t>Média</t>
  </si>
  <si>
    <t>Verificar se catálogo digital ou página institucional seria útil.</t>
  </si>
  <si>
    <t>Garagem Motos</t>
  </si>
  <si>
    <t>Oficina de motos</t>
  </si>
  <si>
    <t>(47) 99661-5356</t>
  </si>
  <si>
    <t>Confirmar contato e presença digital.</t>
  </si>
  <si>
    <t>JS Motos</t>
  </si>
  <si>
    <t>(47) 99680-0616*</t>
  </si>
  <si>
    <t>Item / provedor</t>
  </si>
  <si>
    <t>Tipo</t>
  </si>
  <si>
    <t>SATTURNEX | CALCULADORA DE CUSTO RECORRENTE</t>
  </si>
  <si>
    <t>Preço divulgado</t>
  </si>
  <si>
    <t>Equivalente mensal</t>
  </si>
  <si>
    <t>Observação importante</t>
  </si>
  <si>
    <t>Fonte oficial</t>
  </si>
  <si>
    <t>Altere as células amarelas para estimar custo de primeiro ano e custo recorrente. Valores são referências, não cotação garantida.</t>
  </si>
  <si>
    <t>Campo</t>
  </si>
  <si>
    <t>Valor</t>
  </si>
  <si>
    <t>Orientação</t>
  </si>
  <si>
    <t>Domínio por ano (R$)</t>
  </si>
  <si>
    <t>R$ 40.00</t>
  </si>
  <si>
    <t>Fire Motos Oficina</t>
  </si>
  <si>
    <t>Referência Registro.br .com.br</t>
  </si>
  <si>
    <t>Hospedagem mensal (R$)</t>
  </si>
  <si>
    <t>R$ 25.89</t>
  </si>
  <si>
    <t>Use o preço de renovação/contrato aplicável, não só a promoção</t>
  </si>
  <si>
    <t>Meses de hospedagem no cálculo</t>
  </si>
  <si>
    <t>(47) 98480-8192*</t>
  </si>
  <si>
    <t>Normalmente 12 para estimar um ano</t>
  </si>
  <si>
    <t>Taxa de administração mensal (R$)</t>
  </si>
  <si>
    <t>R$ 0.00</t>
  </si>
  <si>
    <t>Opcional: valor cobrado pela Satturnex para administrar o serviço</t>
  </si>
  <si>
    <t>Custo anual de domínio</t>
  </si>
  <si>
    <t>Custo anual estimado</t>
  </si>
  <si>
    <t>Custo de hospedagem no período</t>
  </si>
  <si>
    <t>R$ 310.68</t>
  </si>
  <si>
    <t>Mensalidade multiplicada pelos meses</t>
  </si>
  <si>
    <t>Administração no período</t>
  </si>
  <si>
    <t>Se houver taxa de gestão</t>
  </si>
  <si>
    <t>CUSTO TOTAL ESTIMADO</t>
  </si>
  <si>
    <t>R$ 350.68</t>
  </si>
  <si>
    <t>Não inclui desenvolvimento, impostos ou taxas adicionais</t>
  </si>
  <si>
    <t>Equivalente mensal total</t>
  </si>
  <si>
    <t>R$ 29.22</t>
  </si>
  <si>
    <t>Total dividido pelo período escolhido</t>
  </si>
  <si>
    <t>SATTURNEX | CONTROLE FINANCEIRO</t>
  </si>
  <si>
    <t>Registre entradas e custos abaixo. O painel calcula os valores recebidos/pagos e a divisão 50/50.</t>
  </si>
  <si>
    <t>J.A. Motos</t>
  </si>
  <si>
    <t>ENTRADAS RECEBIDAS</t>
  </si>
  <si>
    <t>CUSTOS PAGOS</t>
  </si>
  <si>
    <t>RESULTADO LÍQUIDO</t>
  </si>
  <si>
    <t>PARTE DE CADA SÓCIO</t>
  </si>
  <si>
    <t>(47) 99654-8842</t>
  </si>
  <si>
    <t>Registro.br (.com.br)</t>
  </si>
  <si>
    <t>Domínio</t>
  </si>
  <si>
    <t>R$ 3.33</t>
  </si>
  <si>
    <t>R$ 40 por ano. Renovação anual; domínio normalmente fica em nome do cliente.</t>
  </si>
  <si>
    <t>CUSTO FIXO PADRÃO</t>
  </si>
  <si>
    <t>https://registro.br/dominio</t>
  </si>
  <si>
    <t>Despesa</t>
  </si>
  <si>
    <t>Valor total</t>
  </si>
  <si>
    <t>Periodicidade</t>
  </si>
  <si>
    <t>Reserva mensal</t>
  </si>
  <si>
    <t>Equivalente anual</t>
  </si>
  <si>
    <t>Próximo vencimento</t>
  </si>
  <si>
    <t>Observação</t>
  </si>
  <si>
    <t>Domínio Satturnex</t>
  </si>
  <si>
    <t>A cada 3 anos</t>
  </si>
  <si>
    <t>R$ 4.42</t>
  </si>
  <si>
    <t>R$ 53.00</t>
  </si>
  <si>
    <t>R$ 112,00 por ciclo de 3 anos</t>
  </si>
  <si>
    <t>LANÇAMENTOS DE ENTRADAS E CUSTOS</t>
  </si>
  <si>
    <t>Use valores positivos. Entradas recebidas e custos pagos entram no resumo; pendências ficam registradas sem alterar o caixa realizado.</t>
  </si>
  <si>
    <t>Data</t>
  </si>
  <si>
    <t>Cliente / descrição</t>
  </si>
  <si>
    <t>Categoria</t>
  </si>
  <si>
    <t>MM Motos</t>
  </si>
  <si>
    <t>Valor (R$)</t>
  </si>
  <si>
    <t>Situação</t>
  </si>
  <si>
    <t>Observações</t>
  </si>
  <si>
    <t>(47) 99903-7287</t>
  </si>
  <si>
    <t>RESUMO MENSAL</t>
  </si>
  <si>
    <t>Mês (1º dia)</t>
  </si>
  <si>
    <t>Entradas recebidas</t>
  </si>
  <si>
    <t>Custos pagos</t>
  </si>
  <si>
    <t>Gustavo (50%)</t>
  </si>
  <si>
    <t>Manel (50%)</t>
  </si>
  <si>
    <t>Feb/2026</t>
  </si>
  <si>
    <t>Apr/2026</t>
  </si>
  <si>
    <t>May/2026</t>
  </si>
  <si>
    <t>Pet Shop Mingau</t>
  </si>
  <si>
    <t>Pet shop</t>
  </si>
  <si>
    <t>(47) 99728-6965</t>
  </si>
  <si>
    <t>Aug/2026</t>
  </si>
  <si>
    <t>Sep/2026</t>
  </si>
  <si>
    <t>https://ondepet.com/pet-shops/navegantes/</t>
  </si>
  <si>
    <t>Oct/2026</t>
  </si>
  <si>
    <t>Dec/2026</t>
  </si>
  <si>
    <t>RETIRADAS DOS SÓCIOS</t>
  </si>
  <si>
    <t>Sócio</t>
  </si>
  <si>
    <t>Referência / mês</t>
  </si>
  <si>
    <t>Valor retirado (R$)</t>
  </si>
  <si>
    <t>Pago?</t>
  </si>
  <si>
    <t>Hostinger Single</t>
  </si>
  <si>
    <t>Hospedagem compartilhada</t>
  </si>
  <si>
    <t>R$ 5.99</t>
  </si>
  <si>
    <t>Preço promocional equivalente mensal em contratação de 48 meses; renovação divulgada: R$ 23,99/mês. Pagamento antecipado do ciclo.</t>
  </si>
  <si>
    <t>https://www.hostinger.com/br/hospedagem-de-sites</t>
  </si>
  <si>
    <t>Pode se beneficiar de página com serviços, localização e WhatsApp.</t>
  </si>
  <si>
    <t>Micka &amp; Cia Pet Shop</t>
  </si>
  <si>
    <t>(47) 98914-4703</t>
  </si>
  <si>
    <t>Flavia Zanatta Confecções Pet</t>
  </si>
  <si>
    <t>Produtos pet</t>
  </si>
  <si>
    <t>(47) 99913-0554</t>
  </si>
  <si>
    <t>Pode ser candidata a catálogo digital; confirmar contato e canais atuais.</t>
  </si>
  <si>
    <t>Hostinger Premium</t>
  </si>
  <si>
    <t>R$ 10.99</t>
  </si>
  <si>
    <t>Equillibrio Marmitaria Saudável</t>
  </si>
  <si>
    <t>Preço promocional equivalente mensal em contratação de 48 meses; renovação divulgada: R$ 38,99/mês. Domínio grátis pode valer só no primeiro ano.</t>
  </si>
  <si>
    <t>Marmitaria</t>
  </si>
  <si>
    <t>(47) 99906-4566</t>
  </si>
  <si>
    <t>https://www.solutudo.com.br/empresas/sc/navegantes/marmitarias</t>
  </si>
  <si>
    <t>Possível cardápio digital e pedidos via WhatsApp.</t>
  </si>
  <si>
    <t>Tempero Vovó Mineira</t>
  </si>
  <si>
    <t>Alimentação</t>
  </si>
  <si>
    <t>(47) 99642-2404*</t>
  </si>
  <si>
    <t>Locaweb Go</t>
  </si>
  <si>
    <t>R$ 5.90</t>
  </si>
  <si>
    <t>Oferta divulgada a partir de R$ 5,90/mês com pagamento integral e antecipado; preço cheio exibido: R$ 24,90/mês.</t>
  </si>
  <si>
    <t>https://hm9613.locaweb.com.br/hospedagem-de-sites-com-dominio-gratis/</t>
  </si>
  <si>
    <t>Telefone marcado com *; confirmar na fonte original.</t>
  </si>
  <si>
    <t>Sabor Caseiro</t>
  </si>
  <si>
    <t>(47) 99622-2373*</t>
  </si>
  <si>
    <t>HostGator Start</t>
  </si>
  <si>
    <t>Referência de preço regular anual: R$ 310,29/ano, equivalente a R$ 25,89/mês; confira o ciclo e preço vigente antes de contratar.</t>
  </si>
  <si>
    <t>https://www.hostgator.com.br/precos-hostgator</t>
  </si>
  <si>
    <t>Atenção: preço promocional não é o custo real de longo prazo. Compare o total pago no ciclo e a taxa de renovação antes de fechar.</t>
  </si>
  <si>
    <t>Resumo</t>
  </si>
  <si>
    <t>Dominio</t>
  </si>
  <si>
    <t>É o endereço que as pessoas digitam para acessar um site, como minhaempresa.com.br. Funciona como o endereço de uma loja física e normalmente é pago por ano.</t>
  </si>
  <si>
    <t>Exemplo de custo: renovação anual do endereço.</t>
  </si>
  <si>
    <t>Hospedagem</t>
  </si>
  <si>
    <t>É o serviço que mantém os arquivos do site disponíveis na internet para que qualquer pessoa possa acessá-lo. Pode ser gratuito ou pago, dependendo da tecnologia e dos recursos utilizados.</t>
  </si>
  <si>
    <t>Exemplo de custo: mensalidade ou plano anual.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</si>
</sst>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R$&quot; #,##0.00"/>
    <numFmt numFmtId="166" formatCode="0&quot;%&quot;"/>
    <numFmt numFmtId="167" formatCode="[$R$ -416]#,##0.00"/>
    <numFmt numFmtId="168" formatCode="mmm/yyyy"/>
  </numFmts>
  <fonts count="26">
    <font>
      <sz val="11.0"/>
      <color theme="1"/>
      <name val="Calibri"/>
      <scheme val="minor"/>
    </font>
    <font>
      <b/>
      <sz val="16.0"/>
      <color rgb="FFFFFFFF"/>
      <name val="Play"/>
    </font>
    <font/>
    <font>
      <i/>
      <sz val="10.0"/>
      <color rgb="FF525252"/>
      <name val="Aptos"/>
    </font>
    <font>
      <b/>
      <sz val="10.0"/>
      <color rgb="FFFFFFFF"/>
      <name val="Aptos"/>
    </font>
    <font>
      <sz val="10.0"/>
      <color rgb="FF171717"/>
      <name val="Aptos"/>
    </font>
    <font>
      <b/>
      <sz val="15.0"/>
      <color rgb="FFFFFFFF"/>
      <name val="Play"/>
    </font>
    <font>
      <b/>
      <sz val="10.0"/>
      <color rgb="FF171717"/>
      <name val="Aptos"/>
    </font>
    <font>
      <b/>
      <sz val="10.0"/>
      <color rgb="FF171717"/>
      <name val="Arial"/>
    </font>
    <font>
      <u/>
      <sz val="10.0"/>
      <color rgb="FF171717"/>
      <name val="Aptos"/>
    </font>
    <font>
      <sz val="10.0"/>
      <color rgb="FF171717"/>
      <name val="Arial"/>
    </font>
    <font>
      <b/>
      <sz val="10.0"/>
      <color rgb="FFFFFFFF"/>
      <name val="Arial"/>
    </font>
    <font>
      <u/>
      <sz val="10.0"/>
      <color rgb="FF171717"/>
      <name val="Aptos"/>
    </font>
    <font>
      <b/>
      <sz val="11.0"/>
      <color rgb="FFFFFFFF"/>
      <name val="Aptos"/>
    </font>
    <font>
      <b/>
      <sz val="16.0"/>
      <color rgb="FFFFFFFF"/>
      <name val="&quot;Aptos Display&quot;"/>
    </font>
    <font>
      <sz val="11.0"/>
      <color rgb="FF000000"/>
      <name val="Calibri"/>
    </font>
    <font>
      <i/>
      <color rgb="FFFFFFFF"/>
      <name val="Aptos"/>
    </font>
    <font>
      <b/>
      <sz val="11.0"/>
      <color rgb="FFFFFFFF"/>
      <name val="Calibri"/>
    </font>
    <font>
      <b/>
      <sz val="11.0"/>
      <color rgb="FF171717"/>
      <name val="Calibri"/>
    </font>
    <font>
      <sz val="11.0"/>
      <color rgb="FF171717"/>
      <name val="Calibri"/>
    </font>
    <font>
      <b/>
      <sz val="15.0"/>
      <color rgb="FFFFFFFF"/>
      <name val="Arial"/>
    </font>
    <font>
      <color rgb="FF000000"/>
      <name val="Arial"/>
    </font>
    <font>
      <color rgb="FFFFFFFF"/>
      <name val="Arial"/>
    </font>
    <font>
      <b/>
      <color rgb="FFFFFFFF"/>
      <name val="Arial"/>
    </font>
    <font>
      <u/>
      <sz val="12.0"/>
      <color rgb="FF0000FF"/>
      <name val="Calibri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F5F5F5"/>
        <bgColor rgb="FFF5F5F5"/>
      </patternFill>
    </fill>
    <fill>
      <patternFill patternType="solid">
        <fgColor rgb="FF262626"/>
        <bgColor rgb="FF262626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EEE9FF"/>
        <bgColor rgb="FFEEE9FF"/>
      </patternFill>
    </fill>
    <fill>
      <patternFill patternType="solid">
        <fgColor rgb="FF2B2B2B"/>
        <bgColor rgb="FF2B2B2B"/>
      </patternFill>
    </fill>
    <fill>
      <patternFill patternType="solid">
        <fgColor rgb="FFF3F4F6"/>
        <bgColor rgb="FFF3F4F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</fills>
  <borders count="21">
    <border/>
    <border>
      <left style="thin">
        <color rgb="FFE5E5E5"/>
      </left>
      <top style="thin">
        <color rgb="FFE5E5E5"/>
      </top>
      <bottom style="thin">
        <color rgb="FFE5E5E5"/>
      </bottom>
    </border>
    <border>
      <top style="thin">
        <color rgb="FFE5E5E5"/>
      </top>
      <bottom style="thin">
        <color rgb="FFE5E5E5"/>
      </bottom>
    </border>
    <border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top style="thin">
        <color rgb="FFE5E5E5"/>
      </top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top style="thin">
        <color rgb="FFE5E5E5"/>
      </top>
    </border>
    <border>
      <right style="thin">
        <color rgb="FFE5E5E5"/>
      </right>
      <top style="thin">
        <color rgb="FFE5E5E5"/>
      </top>
    </border>
    <border>
      <left style="thin">
        <color rgb="FFE5E5E5"/>
      </left>
    </border>
    <border>
      <right style="thin">
        <color rgb="FFE5E5E5"/>
      </right>
    </border>
    <border>
      <left style="thin">
        <color rgb="FFE5E5E5"/>
      </left>
      <bottom style="thin">
        <color rgb="FFE5E5E5"/>
      </bottom>
    </border>
    <border>
      <bottom style="thin">
        <color rgb="FFD4D4D4"/>
      </bottom>
    </border>
    <border>
      <bottom style="medium">
        <color rgb="FF404040"/>
      </bottom>
    </border>
    <border>
      <bottom style="thin">
        <color rgb="FFE5E5E5"/>
      </bottom>
    </border>
    <border>
      <right style="thin">
        <color rgb="FFE5E5E5"/>
      </right>
      <bottom style="thin">
        <color rgb="FFE5E5E5"/>
      </bottom>
    </border>
    <border>
      <bottom style="thin">
        <color rgb="FFD9D9D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vertical="center"/>
    </xf>
    <xf borderId="4" fillId="3" fontId="5" numFmtId="0" xfId="0" applyAlignment="1" applyBorder="1" applyFill="1" applyFont="1">
      <alignment shrinkToFit="0" vertical="top" wrapText="1"/>
    </xf>
    <xf borderId="6" fillId="0" fontId="2" numFmtId="0" xfId="0" applyBorder="1" applyFont="1"/>
    <xf borderId="5" fillId="4" fontId="4" numFmtId="0" xfId="0" applyAlignment="1" applyBorder="1" applyFill="1" applyFont="1">
      <alignment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5" fontId="5" numFmtId="0" xfId="0" applyAlignment="1" applyBorder="1" applyFill="1" applyFont="1">
      <alignment vertical="center"/>
    </xf>
    <xf borderId="1" fillId="2" fontId="6" numFmtId="0" xfId="0" applyAlignment="1" applyBorder="1" applyFill="1" applyFont="1">
      <alignment vertical="center"/>
    </xf>
    <xf borderId="12" fillId="4" fontId="4" numFmtId="0" xfId="0" applyAlignment="1" applyBorder="1" applyFill="1" applyFont="1">
      <alignment horizontal="left" readingOrder="0" shrinkToFit="0" vertical="center" wrapText="1"/>
    </xf>
    <xf borderId="11" fillId="3" fontId="7" numFmtId="0" xfId="0" applyAlignment="1" applyBorder="1" applyFill="1" applyFont="1">
      <alignment shrinkToFit="0" vertical="top" wrapText="1"/>
    </xf>
    <xf borderId="13" fillId="0" fontId="2" numFmtId="0" xfId="0" applyBorder="1" applyFont="1"/>
    <xf borderId="11" fillId="3" fontId="5" numFmtId="0" xfId="0" applyAlignment="1" applyBorder="1" applyFill="1" applyFont="1">
      <alignment shrinkToFit="0" vertical="top" wrapText="1"/>
    </xf>
    <xf borderId="11" fillId="5" fontId="7" numFmtId="0" xfId="0" applyAlignment="1" applyBorder="1" applyFill="1" applyFont="1">
      <alignment vertical="center"/>
    </xf>
    <xf borderId="14" fillId="0" fontId="2" numFmtId="0" xfId="0" applyBorder="1" applyFont="1"/>
    <xf borderId="11" fillId="5" fontId="7" numFmtId="0" xfId="0" applyAlignment="1" applyBorder="1" applyFill="1" applyFont="1">
      <alignment shrinkToFit="0" vertical="top" wrapText="1"/>
    </xf>
    <xf borderId="11" fillId="5" fontId="5" numFmtId="0" xfId="0" applyAlignment="1" applyBorder="1" applyFill="1" applyFont="1">
      <alignment shrinkToFit="0" vertical="top" wrapText="1"/>
    </xf>
    <xf borderId="11" fillId="3" fontId="5" numFmtId="0" xfId="0" applyAlignment="1" applyBorder="1" applyFill="1" applyFont="1">
      <alignment vertical="center"/>
    </xf>
    <xf borderId="1" fillId="6" fontId="8" numFmtId="0" xfId="0" applyAlignment="1" applyBorder="1" applyFill="1" applyFont="1">
      <alignment readingOrder="0" shrinkToFit="0" vertical="center" wrapText="1"/>
    </xf>
    <xf borderId="11" fillId="3" fontId="7" numFmtId="0" xfId="0" applyAlignment="1" applyBorder="1" applyFill="1" applyFont="1">
      <alignment vertical="center"/>
    </xf>
    <xf borderId="11" fillId="5" fontId="5" numFmtId="0" xfId="0" applyAlignment="1" applyBorder="1" applyFill="1" applyFont="1">
      <alignment shrinkToFit="0" vertical="top" wrapText="0"/>
    </xf>
    <xf borderId="11" fillId="5" fontId="7" numFmtId="0" xfId="0" applyAlignment="1" applyBorder="1" applyFill="1" applyFont="1">
      <alignment shrinkToFit="0" vertical="top" wrapText="1"/>
    </xf>
    <xf borderId="11" fillId="5" fontId="5" numFmtId="0" xfId="0" applyAlignment="1" applyBorder="1" applyFill="1" applyFont="1">
      <alignment shrinkToFit="0" vertical="top" wrapText="1"/>
    </xf>
    <xf borderId="11" fillId="5" fontId="9" numFmtId="0" xfId="0" applyAlignment="1" applyBorder="1" applyFill="1" applyFont="1">
      <alignment shrinkToFit="0" vertical="top" wrapText="1"/>
    </xf>
    <xf borderId="11" fillId="6" fontId="7" numFmtId="0" xfId="0" applyAlignment="1" applyBorder="1" applyFill="1" applyFont="1">
      <alignment shrinkToFit="0" vertical="top" wrapText="0"/>
    </xf>
    <xf borderId="11" fillId="5" fontId="5" numFmtId="164" xfId="0" applyAlignment="1" applyBorder="1" applyFill="1" applyFont="1" applyNumberFormat="1">
      <alignment shrinkToFit="0" vertical="top" wrapText="0"/>
    </xf>
    <xf borderId="11" fillId="5" fontId="5" numFmtId="165" xfId="0" applyAlignment="1" applyBorder="1" applyFill="1" applyFont="1" applyNumberFormat="1">
      <alignment shrinkToFit="0" vertical="top" wrapText="0"/>
    </xf>
    <xf borderId="11" fillId="5" fontId="5" numFmtId="166" xfId="0" applyAlignment="1" applyBorder="1" applyFill="1" applyFont="1" applyNumberFormat="1">
      <alignment shrinkToFit="0" vertical="top" wrapText="0"/>
    </xf>
    <xf borderId="11" fillId="5" fontId="10" numFmtId="0" xfId="0" applyAlignment="1" applyBorder="1" applyFill="1" applyFont="1">
      <alignment readingOrder="0" shrinkToFit="0" vertical="top" wrapText="0"/>
    </xf>
    <xf borderId="11" fillId="3" fontId="5" numFmtId="0" xfId="0" applyAlignment="1" applyBorder="1" applyFill="1" applyFont="1">
      <alignment shrinkToFit="0" vertical="top" wrapText="0"/>
    </xf>
    <xf borderId="11" fillId="3" fontId="7" numFmtId="0" xfId="0" applyAlignment="1" applyBorder="1" applyFill="1" applyFont="1">
      <alignment shrinkToFit="0" vertical="top" wrapText="1"/>
    </xf>
    <xf borderId="11" fillId="3" fontId="5" numFmtId="0" xfId="0" applyAlignment="1" applyBorder="1" applyFill="1" applyFont="1">
      <alignment shrinkToFit="0" vertical="top" wrapText="1"/>
    </xf>
    <xf borderId="1" fillId="4" fontId="11" numFmtId="0" xfId="0" applyAlignment="1" applyBorder="1" applyFill="1" applyFont="1">
      <alignment readingOrder="0" vertical="center"/>
    </xf>
    <xf borderId="4" fillId="3" fontId="10" numFmtId="0" xfId="0" applyAlignment="1" applyBorder="1" applyFill="1" applyFont="1">
      <alignment readingOrder="0" shrinkToFit="0" vertical="top" wrapText="1"/>
    </xf>
    <xf borderId="11" fillId="3" fontId="12" numFmtId="0" xfId="0" applyAlignment="1" applyBorder="1" applyFill="1" applyFont="1">
      <alignment shrinkToFit="0" vertical="top" wrapText="1"/>
    </xf>
    <xf borderId="11" fillId="3" fontId="10" numFmtId="0" xfId="0" applyAlignment="1" applyBorder="1" applyFill="1" applyFont="1">
      <alignment readingOrder="0" shrinkToFit="0" vertical="top" wrapText="0"/>
    </xf>
    <xf borderId="11" fillId="3" fontId="5" numFmtId="164" xfId="0" applyAlignment="1" applyBorder="1" applyFill="1" applyFont="1" applyNumberFormat="1">
      <alignment shrinkToFit="0" vertical="top" wrapText="0"/>
    </xf>
    <xf borderId="11" fillId="3" fontId="7" numFmtId="165" xfId="0" applyAlignment="1" applyBorder="1" applyFill="1" applyFont="1" applyNumberFormat="1">
      <alignment vertical="center"/>
    </xf>
    <xf borderId="11" fillId="3" fontId="5" numFmtId="165" xfId="0" applyAlignment="1" applyBorder="1" applyFill="1" applyFont="1" applyNumberFormat="1">
      <alignment shrinkToFit="0" vertical="top" wrapText="0"/>
    </xf>
    <xf borderId="11" fillId="3" fontId="5" numFmtId="166" xfId="0" applyAlignment="1" applyBorder="1" applyFill="1" applyFont="1" applyNumberFormat="1">
      <alignment shrinkToFit="0" vertical="top" wrapText="0"/>
    </xf>
    <xf borderId="11" fillId="5" fontId="8" numFmtId="165" xfId="0" applyAlignment="1" applyBorder="1" applyFill="1" applyFont="1" applyNumberFormat="1">
      <alignment readingOrder="0" vertical="center"/>
    </xf>
    <xf borderId="11" fillId="5" fontId="10" numFmtId="0" xfId="0" applyAlignment="1" applyBorder="1" applyFill="1" applyFont="1">
      <alignment readingOrder="0" shrinkToFit="0" vertical="top" wrapText="1"/>
    </xf>
    <xf borderId="5" fillId="4" fontId="13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shrinkToFit="0" vertical="center" wrapText="1"/>
    </xf>
    <xf borderId="0" fillId="2" fontId="14" numFmtId="0" xfId="0" applyAlignment="1" applyFill="1" applyFont="1">
      <alignment readingOrder="0" shrinkToFit="0" wrapText="0"/>
    </xf>
    <xf borderId="1" fillId="5" fontId="5" numFmtId="0" xfId="0" applyAlignment="1" applyBorder="1" applyFill="1" applyFont="1">
      <alignment shrinkToFit="0" vertical="center" wrapText="1"/>
    </xf>
    <xf borderId="0" fillId="0" fontId="15" numFmtId="0" xfId="0" applyAlignment="1" applyFont="1">
      <alignment shrinkToFit="0" vertical="bottom" wrapText="0"/>
    </xf>
    <xf borderId="5" fillId="7" fontId="7" numFmtId="0" xfId="0" applyAlignment="1" applyBorder="1" applyFill="1" applyFont="1">
      <alignment shrinkToFit="0" vertical="center" wrapText="1"/>
    </xf>
    <xf borderId="1" fillId="4" fontId="13" numFmtId="0" xfId="0" applyAlignment="1" applyBorder="1" applyFill="1" applyFont="1">
      <alignment vertical="center"/>
    </xf>
    <xf borderId="11" fillId="6" fontId="5" numFmtId="165" xfId="0" applyAlignment="1" applyBorder="1" applyFill="1" applyFont="1" applyNumberFormat="1">
      <alignment vertical="center"/>
    </xf>
    <xf borderId="11" fillId="3" fontId="5" numFmtId="165" xfId="0" applyAlignment="1" applyBorder="1" applyFill="1" applyFont="1" applyNumberFormat="1">
      <alignment vertical="center"/>
    </xf>
    <xf borderId="11" fillId="6" fontId="5" numFmtId="0" xfId="0" applyAlignment="1" applyBorder="1" applyFill="1" applyFont="1">
      <alignment shrinkToFit="0" vertical="top" wrapText="0"/>
    </xf>
    <xf borderId="11" fillId="6" fontId="7" numFmtId="165" xfId="0" applyAlignment="1" applyBorder="1" applyFill="1" applyFont="1" applyNumberFormat="1">
      <alignment vertical="center"/>
    </xf>
    <xf borderId="0" fillId="8" fontId="16" numFmtId="0" xfId="0" applyAlignment="1" applyFill="1" applyFont="1">
      <alignment readingOrder="0"/>
    </xf>
    <xf borderId="0" fillId="8" fontId="17" numFmtId="0" xfId="0" applyAlignment="1" applyFill="1" applyFont="1">
      <alignment readingOrder="0" vertical="bottom"/>
    </xf>
    <xf borderId="15" fillId="5" fontId="15" numFmtId="0" xfId="0" applyAlignment="1" applyBorder="1" applyFill="1" applyFont="1">
      <alignment readingOrder="0" vertical="top"/>
    </xf>
    <xf borderId="15" fillId="9" fontId="15" numFmtId="0" xfId="0" applyAlignment="1" applyBorder="1" applyFill="1" applyFont="1">
      <alignment readingOrder="0" vertical="top"/>
    </xf>
    <xf borderId="0" fillId="10" fontId="18" numFmtId="0" xfId="0" applyAlignment="1" applyFill="1" applyFont="1">
      <alignment readingOrder="0"/>
    </xf>
    <xf borderId="11" fillId="3" fontId="8" numFmtId="0" xfId="0" applyAlignment="1" applyBorder="1" applyFill="1" applyFont="1">
      <alignment readingOrder="0" shrinkToFit="0" vertical="top" wrapText="0"/>
    </xf>
    <xf borderId="11" fillId="3" fontId="7" numFmtId="0" xfId="0" applyAlignment="1" applyBorder="1" applyFill="1" applyFont="1">
      <alignment shrinkToFit="0" vertical="top" wrapText="0"/>
    </xf>
    <xf borderId="0" fillId="8" fontId="17" numFmtId="0" xfId="0" applyAlignment="1" applyFill="1" applyFont="1">
      <alignment readingOrder="0"/>
    </xf>
    <xf borderId="0" fillId="8" fontId="17" numFmtId="0" xfId="0" applyAlignment="1" applyFill="1" applyFont="1">
      <alignment readingOrder="0" vertical="top"/>
    </xf>
    <xf borderId="15" fillId="5" fontId="15" numFmtId="0" xfId="0" applyAlignment="1" applyBorder="1" applyFill="1" applyFont="1">
      <alignment readingOrder="0"/>
    </xf>
    <xf borderId="15" fillId="11" fontId="15" numFmtId="0" xfId="0" applyAlignment="1" applyBorder="1" applyFill="1" applyFont="1">
      <alignment readingOrder="0"/>
    </xf>
    <xf borderId="15" fillId="9" fontId="15" numFmtId="0" xfId="0" applyAlignment="1" applyBorder="1" applyFill="1" applyFont="1">
      <alignment readingOrder="0"/>
    </xf>
    <xf borderId="15" fillId="11" fontId="15" numFmtId="0" xfId="0" applyAlignment="1" applyBorder="1" applyFill="1" applyFont="1">
      <alignment horizontal="center" readingOrder="0"/>
    </xf>
    <xf borderId="15" fillId="5" fontId="19" numFmtId="0" xfId="0" applyAlignment="1" applyBorder="1" applyFill="1" applyFont="1">
      <alignment readingOrder="0"/>
    </xf>
    <xf borderId="15" fillId="9" fontId="19" numFmtId="0" xfId="0" applyAlignment="1" applyBorder="1" applyFill="1" applyFont="1">
      <alignment readingOrder="0"/>
    </xf>
    <xf borderId="15" fillId="8" fontId="17" numFmtId="0" xfId="0" applyAlignment="1" applyBorder="1" applyFill="1" applyFont="1">
      <alignment readingOrder="0"/>
    </xf>
    <xf borderId="0" fillId="2" fontId="20" numFmtId="0" xfId="0" applyAlignment="1" applyFill="1" applyFont="1">
      <alignment readingOrder="0" shrinkToFit="0" wrapText="0"/>
    </xf>
    <xf borderId="0" fillId="0" fontId="21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4" fontId="22" numFmtId="0" xfId="0" applyAlignment="1" applyFill="1" applyFont="1">
      <alignment readingOrder="0"/>
    </xf>
    <xf borderId="16" fillId="10" fontId="21" numFmtId="0" xfId="0" applyAlignment="1" applyBorder="1" applyFill="1" applyFont="1">
      <alignment readingOrder="0" shrinkToFit="0" wrapText="0"/>
    </xf>
    <xf borderId="17" fillId="0" fontId="2" numFmtId="0" xfId="0" applyBorder="1" applyFont="1"/>
    <xf borderId="18" fillId="10" fontId="21" numFmtId="0" xfId="0" applyAlignment="1" applyBorder="1" applyFill="1" applyFont="1">
      <alignment readingOrder="0" shrinkToFit="0" wrapText="0"/>
    </xf>
    <xf borderId="19" fillId="4" fontId="23" numFmtId="0" xfId="0" applyAlignment="1" applyBorder="1" applyFill="1" applyFont="1">
      <alignment readingOrder="0"/>
    </xf>
    <xf borderId="19" fillId="12" fontId="15" numFmtId="0" xfId="0" applyAlignment="1" applyBorder="1" applyFill="1" applyFont="1">
      <alignment readingOrder="0" shrinkToFit="0" wrapText="0"/>
    </xf>
    <xf borderId="19" fillId="12" fontId="15" numFmtId="167" xfId="0" applyAlignment="1" applyBorder="1" applyFill="1" applyFont="1" applyNumberFormat="1">
      <alignment readingOrder="0" shrinkToFit="0" wrapText="0"/>
    </xf>
    <xf borderId="19" fillId="12" fontId="15" numFmtId="0" xfId="0" applyAlignment="1" applyBorder="1" applyFill="1" applyFont="1">
      <alignment shrinkToFit="0" wrapText="0"/>
    </xf>
    <xf borderId="0" fillId="0" fontId="24" numFmtId="0" xfId="0" applyAlignment="1" applyFont="1">
      <alignment readingOrder="0" vertical="top"/>
    </xf>
    <xf borderId="20" fillId="13" fontId="15" numFmtId="0" xfId="0" applyAlignment="1" applyBorder="1" applyFill="1" applyFont="1">
      <alignment shrinkToFit="0" wrapText="0"/>
    </xf>
    <xf borderId="20" fillId="13" fontId="15" numFmtId="0" xfId="0" applyAlignment="1" applyBorder="1" applyFill="1" applyFont="1">
      <alignment readingOrder="0" shrinkToFit="0" wrapText="0"/>
    </xf>
    <xf borderId="20" fillId="0" fontId="15" numFmtId="0" xfId="0" applyAlignment="1" applyBorder="1" applyFont="1">
      <alignment shrinkToFit="0" wrapText="0"/>
    </xf>
    <xf borderId="19" fillId="4" fontId="23" numFmtId="0" xfId="0" applyBorder="1" applyFill="1" applyFont="1"/>
    <xf borderId="0" fillId="13" fontId="15" numFmtId="168" xfId="0" applyAlignment="1" applyFill="1" applyFont="1" applyNumberFormat="1">
      <alignment horizontal="left" readingOrder="0" shrinkToFit="0" wrapText="0"/>
    </xf>
    <xf borderId="0" fillId="13" fontId="15" numFmtId="167" xfId="0" applyAlignment="1" applyFill="1" applyFont="1" applyNumberFormat="1">
      <alignment readingOrder="0" shrinkToFit="0" wrapText="0"/>
    </xf>
    <xf borderId="0" fillId="0" fontId="15" numFmtId="0" xfId="0" applyAlignment="1" applyFont="1">
      <alignment horizontal="left" readingOrder="0" shrinkToFit="0" wrapText="0"/>
    </xf>
    <xf borderId="0" fillId="0" fontId="15" numFmtId="167" xfId="0" applyAlignment="1" applyFont="1" applyNumberFormat="1">
      <alignment readingOrder="0" shrinkToFit="0" wrapText="0"/>
    </xf>
    <xf borderId="0" fillId="13" fontId="15" numFmtId="0" xfId="0" applyAlignment="1" applyFill="1" applyFont="1">
      <alignment horizontal="left" readingOrder="0" shrinkToFit="0" wrapText="0"/>
    </xf>
    <xf borderId="0" fillId="0" fontId="15" numFmtId="168" xfId="0" applyAlignment="1" applyFont="1" applyNumberFormat="1">
      <alignment horizontal="left" readingOrder="0" shrinkToFit="0" wrapText="0"/>
    </xf>
    <xf borderId="0" fillId="13" fontId="15" numFmtId="0" xfId="0" applyAlignment="1" applyFill="1" applyFont="1">
      <alignment shrinkToFit="0" wrapText="0"/>
    </xf>
    <xf borderId="0" fillId="13" fontId="15" numFmtId="167" xfId="0" applyAlignment="1" applyFill="1" applyFont="1" applyNumberFormat="1">
      <alignment shrinkToFit="0" wrapText="0"/>
    </xf>
    <xf borderId="0" fillId="0" fontId="15" numFmtId="167" xfId="0" applyAlignment="1" applyFont="1" applyNumberFormat="1">
      <alignment shrinkToFit="0" wrapText="0"/>
    </xf>
    <xf borderId="0" fillId="11" fontId="18" numFmtId="0" xfId="0" applyAlignment="1" applyFill="1" applyFont="1">
      <alignment readingOrder="0"/>
    </xf>
    <xf borderId="0" fillId="0" fontId="25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71717"/>
      </font>
      <fill>
        <patternFill patternType="solid">
          <fgColor rgb="FFD9D9D9"/>
          <bgColor rgb="FFD9D9D9"/>
        </patternFill>
      </fill>
      <border/>
    </dxf>
    <dxf>
      <font>
        <b/>
        <color rgb="FFFFFFFF"/>
      </font>
      <fill>
        <patternFill patternType="solid">
          <fgColor rgb="FFA3A3A3"/>
          <bgColor rgb="FFA3A3A3"/>
        </patternFill>
      </fill>
      <border/>
    </dxf>
    <dxf>
      <font>
        <b/>
        <color rgb="FF171717"/>
      </font>
      <fill>
        <patternFill patternType="solid">
          <fgColor rgb="FFF0F0F0"/>
          <bgColor rgb="FFF0F0F0"/>
        </patternFill>
      </fill>
      <border/>
    </dxf>
    <dxf>
      <font>
        <b/>
        <color rgb="FF171717"/>
      </font>
      <fill>
        <patternFill patternType="solid">
          <fgColor rgb="FFBFBFBF"/>
          <bgColor rgb="FFBFBFBF"/>
        </patternFill>
      </fill>
      <border/>
    </dxf>
  </dxfs>
  <tableStyles count="1">
    <tableStyle count="4" pivot="0" name="CRM de Lea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U24" displayName="CRMLeads" name="CRMLeads" id="1">
  <tableColumns count="21">
    <tableColumn name="ID" id="1"/>
    <tableColumn name="Negócio" id="2"/>
    <tableColumn name="Segmento" id="3"/>
    <tableColumn name="Cidade" id="4"/>
    <tableColumn name="Telefone listado" id="5"/>
    <tableColumn name="Instagram / rede social" id="6"/>
    <tableColumn name="Site atual" id="7"/>
    <tableColumn name="Site verificado?" id="8"/>
    <tableColumn name="Fonte" id="9"/>
    <tableColumn name="Prioridade" id="10"/>
    <tableColumn name="Responsável Satturnex" id="11"/>
    <tableColumn name="Etapa comercial" id="12"/>
    <tableColumn name="Último contato" id="13"/>
    <tableColumn name="Próxima ação" id="14"/>
    <tableColumn name="Data follow-up" id="15"/>
    <tableColumn name="Serviço de interesse" id="16"/>
    <tableColumn name="Valor ofertado (R$)" id="17"/>
    <tableColumn name="Valor fechado (R$)" id="18"/>
    <tableColumn name="Chance (%)" id="19"/>
    <tableColumn name="Notas da conversa" id="20"/>
    <tableColumn name="Dados conferidos?" id="21"/>
  </tableColumns>
  <tableStyleInfo name="CRM de Le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olutudo.com.br/empresas/sc/navegantes/marmitarias" TargetMode="External"/><Relationship Id="rId11" Type="http://schemas.openxmlformats.org/officeDocument/2006/relationships/hyperlink" Target="https://www.solutudo.com.br/empresas/sc/navegantes/oficinas%2Bmotos" TargetMode="External"/><Relationship Id="rId10" Type="http://schemas.openxmlformats.org/officeDocument/2006/relationships/hyperlink" Target="https://www.solutudo.com.br/empresas/sc/navegantes/oficinas%2Bmoto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solutudo.com.br/empresas/sc/navegantes/oficinas%2Bmotos" TargetMode="External"/><Relationship Id="rId12" Type="http://schemas.openxmlformats.org/officeDocument/2006/relationships/hyperlink" Target="https://www.solutudo.com.br/empresas/sc/navegantes/oficinas%2Bmotos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solutudo.com.br/empresas/sc/navegantes/barbearias" TargetMode="External"/><Relationship Id="rId2" Type="http://schemas.openxmlformats.org/officeDocument/2006/relationships/hyperlink" Target="https://www.solutudo.com.br/empresas/sc/navegantes/barbearias" TargetMode="External"/><Relationship Id="rId3" Type="http://schemas.openxmlformats.org/officeDocument/2006/relationships/hyperlink" Target="https://www.solutudo.com.br/empresas/sc/navegantes/barbearias" TargetMode="External"/><Relationship Id="rId4" Type="http://schemas.openxmlformats.org/officeDocument/2006/relationships/hyperlink" Target="https://www.solutudo.com.br/empresas/sc/navegantes/barbearias" TargetMode="External"/><Relationship Id="rId9" Type="http://schemas.openxmlformats.org/officeDocument/2006/relationships/hyperlink" Target="https://www.solutudo.com.br/empresas/sc/navegantes/oficinas%2Bmotos" TargetMode="External"/><Relationship Id="rId15" Type="http://schemas.openxmlformats.org/officeDocument/2006/relationships/hyperlink" Target="https://ondepet.com/pet-shops/navegantes/" TargetMode="External"/><Relationship Id="rId14" Type="http://schemas.openxmlformats.org/officeDocument/2006/relationships/hyperlink" Target="https://www.solutudo.com.br/empresas/sc/navegantes/oficinas%2Bmotos" TargetMode="External"/><Relationship Id="rId17" Type="http://schemas.openxmlformats.org/officeDocument/2006/relationships/hyperlink" Target="https://ondepet.com/pet-shops/navegantes/" TargetMode="External"/><Relationship Id="rId16" Type="http://schemas.openxmlformats.org/officeDocument/2006/relationships/hyperlink" Target="https://ondepet.com/pet-shops/navegantes/" TargetMode="External"/><Relationship Id="rId5" Type="http://schemas.openxmlformats.org/officeDocument/2006/relationships/hyperlink" Target="https://www.solutudo.com.br/empresas/sc/navegantes/barbearias" TargetMode="External"/><Relationship Id="rId19" Type="http://schemas.openxmlformats.org/officeDocument/2006/relationships/hyperlink" Target="https://www.solutudo.com.br/empresas/sc/navegantes/marmitarias" TargetMode="External"/><Relationship Id="rId6" Type="http://schemas.openxmlformats.org/officeDocument/2006/relationships/hyperlink" Target="https://www.solutudo.com.br/empresas/sc/navegantes/manicures%2Be%2Bpedicures" TargetMode="External"/><Relationship Id="rId18" Type="http://schemas.openxmlformats.org/officeDocument/2006/relationships/hyperlink" Target="https://www.solutudo.com.br/empresas/sc/navegantes/marmitarias" TargetMode="External"/><Relationship Id="rId7" Type="http://schemas.openxmlformats.org/officeDocument/2006/relationships/hyperlink" Target="https://www.solutudo.com.br/empresas/sc/navegantes/manicures%2Be%2Bpedicures" TargetMode="External"/><Relationship Id="rId8" Type="http://schemas.openxmlformats.org/officeDocument/2006/relationships/hyperlink" Target="https://www.solutudo.com.br/empresas/sc/navegantes/manicures%2Be%2Bpedicur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o.br/dominio" TargetMode="External"/><Relationship Id="rId2" Type="http://schemas.openxmlformats.org/officeDocument/2006/relationships/hyperlink" Target="https://www.hostinger.com/br/hospedagem-de-sites" TargetMode="External"/><Relationship Id="rId3" Type="http://schemas.openxmlformats.org/officeDocument/2006/relationships/hyperlink" Target="https://www.hostinger.com/br/hospedagem-de-sites" TargetMode="External"/><Relationship Id="rId4" Type="http://schemas.openxmlformats.org/officeDocument/2006/relationships/hyperlink" Target="https://hm9613.locaweb.com.br/hospedagem-de-sites-com-dominio-gratis/" TargetMode="External"/><Relationship Id="rId5" Type="http://schemas.openxmlformats.org/officeDocument/2006/relationships/hyperlink" Target="https://www.hostgator.com.br/precos-hostgator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1717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9.0"/>
    <col customWidth="1" min="3" max="3" width="22.0"/>
    <col customWidth="1" min="4" max="4" width="18.0"/>
    <col customWidth="1" min="5" max="5" width="20.0"/>
    <col customWidth="1" min="6" max="6" width="25.0"/>
    <col customWidth="1" min="7" max="7" width="30.0"/>
    <col customWidth="1" min="8" max="8" width="18.0"/>
    <col customWidth="1" min="9" max="9" width="42.0"/>
    <col customWidth="1" min="10" max="10" width="13.0"/>
    <col customWidth="1" min="11" max="12" width="22.0"/>
    <col customWidth="1" min="13" max="13" width="16.0"/>
    <col customWidth="1" min="14" max="14" width="32.0"/>
    <col customWidth="1" min="15" max="15" width="16.0"/>
    <col customWidth="1" min="16" max="16" width="27.0"/>
    <col customWidth="1" min="17" max="18" width="18.0"/>
    <col customWidth="1" min="19" max="19" width="13.0"/>
    <col customWidth="1" min="20" max="20" width="45.0"/>
    <col customWidth="1" min="21" max="21" width="18.0"/>
    <col customWidth="1" min="22" max="26" width="8.71"/>
  </cols>
  <sheetData>
    <row r="1" ht="33.75" customHeight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24.0" customHeight="1">
      <c r="A2" s="4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4" ht="43.5" customHeight="1">
      <c r="A4" s="15" t="s">
        <v>16</v>
      </c>
      <c r="B4" s="15" t="s">
        <v>22</v>
      </c>
      <c r="C4" s="15" t="s">
        <v>24</v>
      </c>
      <c r="D4" s="15" t="s">
        <v>26</v>
      </c>
      <c r="E4" s="15" t="s">
        <v>29</v>
      </c>
      <c r="F4" s="15" t="s">
        <v>31</v>
      </c>
      <c r="G4" s="15" t="s">
        <v>32</v>
      </c>
      <c r="H4" s="15" t="s">
        <v>34</v>
      </c>
      <c r="I4" s="15" t="s">
        <v>37</v>
      </c>
      <c r="J4" s="15" t="s">
        <v>39</v>
      </c>
      <c r="K4" s="15" t="s">
        <v>42</v>
      </c>
      <c r="L4" s="15" t="s">
        <v>10</v>
      </c>
      <c r="M4" s="15" t="s">
        <v>47</v>
      </c>
      <c r="N4" s="15" t="s">
        <v>49</v>
      </c>
      <c r="O4" s="15" t="s">
        <v>53</v>
      </c>
      <c r="P4" s="15" t="s">
        <v>59</v>
      </c>
      <c r="Q4" s="15" t="s">
        <v>62</v>
      </c>
      <c r="R4" s="15" t="s">
        <v>63</v>
      </c>
      <c r="S4" s="15" t="s">
        <v>66</v>
      </c>
      <c r="T4" s="15" t="s">
        <v>67</v>
      </c>
      <c r="U4" s="15" t="s">
        <v>69</v>
      </c>
    </row>
    <row r="5">
      <c r="A5" s="26">
        <v>1.0</v>
      </c>
      <c r="B5" s="27" t="s">
        <v>72</v>
      </c>
      <c r="C5" s="28" t="s">
        <v>74</v>
      </c>
      <c r="D5" s="26" t="s">
        <v>75</v>
      </c>
      <c r="E5" s="26" t="s">
        <v>76</v>
      </c>
      <c r="F5" s="28"/>
      <c r="G5" s="28"/>
      <c r="H5" s="26" t="s">
        <v>81</v>
      </c>
      <c r="I5" s="29" t="s">
        <v>83</v>
      </c>
      <c r="J5" s="30" t="s">
        <v>90</v>
      </c>
      <c r="K5" s="26" t="s">
        <v>92</v>
      </c>
      <c r="L5" s="26" t="s">
        <v>28</v>
      </c>
      <c r="M5" s="31"/>
      <c r="N5" s="28" t="s">
        <v>96</v>
      </c>
      <c r="O5" s="31"/>
      <c r="P5" s="28"/>
      <c r="Q5" s="32"/>
      <c r="R5" s="32"/>
      <c r="S5" s="33">
        <v>20.0</v>
      </c>
      <c r="T5" s="28" t="s">
        <v>102</v>
      </c>
      <c r="U5" s="34" t="s">
        <v>104</v>
      </c>
    </row>
    <row r="6">
      <c r="A6" s="35">
        <v>2.0</v>
      </c>
      <c r="B6" s="36" t="s">
        <v>107</v>
      </c>
      <c r="C6" s="37" t="s">
        <v>74</v>
      </c>
      <c r="D6" s="35" t="s">
        <v>75</v>
      </c>
      <c r="E6" s="35" t="s">
        <v>109</v>
      </c>
      <c r="F6" s="37"/>
      <c r="G6" s="37"/>
      <c r="H6" s="35" t="s">
        <v>81</v>
      </c>
      <c r="I6" s="40" t="s">
        <v>83</v>
      </c>
      <c r="J6" s="30" t="s">
        <v>90</v>
      </c>
      <c r="K6" s="41" t="s">
        <v>92</v>
      </c>
      <c r="L6" s="35" t="s">
        <v>28</v>
      </c>
      <c r="M6" s="42"/>
      <c r="N6" s="37" t="s">
        <v>96</v>
      </c>
      <c r="O6" s="42"/>
      <c r="P6" s="37"/>
      <c r="Q6" s="44"/>
      <c r="R6" s="44"/>
      <c r="S6" s="45">
        <v>20.0</v>
      </c>
      <c r="T6" s="37" t="s">
        <v>102</v>
      </c>
      <c r="U6" s="35" t="s">
        <v>104</v>
      </c>
    </row>
    <row r="7">
      <c r="A7" s="26">
        <v>3.0</v>
      </c>
      <c r="B7" s="27" t="s">
        <v>116</v>
      </c>
      <c r="C7" s="28" t="s">
        <v>74</v>
      </c>
      <c r="D7" s="26" t="s">
        <v>75</v>
      </c>
      <c r="E7" s="26" t="s">
        <v>117</v>
      </c>
      <c r="F7" s="28"/>
      <c r="G7" s="28"/>
      <c r="H7" s="26" t="s">
        <v>81</v>
      </c>
      <c r="I7" s="29" t="s">
        <v>83</v>
      </c>
      <c r="J7" s="30" t="s">
        <v>90</v>
      </c>
      <c r="K7" s="26" t="s">
        <v>92</v>
      </c>
      <c r="L7" s="26" t="s">
        <v>28</v>
      </c>
      <c r="M7" s="31"/>
      <c r="N7" s="47" t="s">
        <v>96</v>
      </c>
      <c r="O7" s="31"/>
      <c r="P7" s="28"/>
      <c r="Q7" s="32"/>
      <c r="R7" s="32"/>
      <c r="S7" s="33">
        <v>20.0</v>
      </c>
      <c r="T7" s="28" t="s">
        <v>102</v>
      </c>
      <c r="U7" s="26" t="s">
        <v>104</v>
      </c>
    </row>
    <row r="8">
      <c r="A8" s="35">
        <v>4.0</v>
      </c>
      <c r="B8" s="36" t="s">
        <v>121</v>
      </c>
      <c r="C8" s="37" t="s">
        <v>74</v>
      </c>
      <c r="D8" s="35" t="s">
        <v>75</v>
      </c>
      <c r="E8" s="35" t="s">
        <v>122</v>
      </c>
      <c r="F8" s="37"/>
      <c r="G8" s="37"/>
      <c r="H8" s="35" t="s">
        <v>81</v>
      </c>
      <c r="I8" s="40" t="s">
        <v>83</v>
      </c>
      <c r="J8" s="30" t="s">
        <v>90</v>
      </c>
      <c r="K8" s="35" t="s">
        <v>92</v>
      </c>
      <c r="L8" s="35" t="s">
        <v>28</v>
      </c>
      <c r="M8" s="42"/>
      <c r="N8" s="37" t="s">
        <v>96</v>
      </c>
      <c r="O8" s="42"/>
      <c r="P8" s="37"/>
      <c r="Q8" s="44"/>
      <c r="R8" s="44"/>
      <c r="S8" s="45">
        <v>20.0</v>
      </c>
      <c r="T8" s="37" t="s">
        <v>102</v>
      </c>
      <c r="U8" s="35" t="s">
        <v>104</v>
      </c>
    </row>
    <row r="9">
      <c r="A9" s="26">
        <v>5.0</v>
      </c>
      <c r="B9" s="27" t="s">
        <v>128</v>
      </c>
      <c r="C9" s="28" t="s">
        <v>74</v>
      </c>
      <c r="D9" s="26" t="s">
        <v>75</v>
      </c>
      <c r="E9" s="26" t="s">
        <v>130</v>
      </c>
      <c r="F9" s="28"/>
      <c r="G9" s="28"/>
      <c r="H9" s="26" t="s">
        <v>81</v>
      </c>
      <c r="I9" s="29" t="s">
        <v>83</v>
      </c>
      <c r="J9" s="30" t="s">
        <v>90</v>
      </c>
      <c r="K9" s="26" t="s">
        <v>92</v>
      </c>
      <c r="L9" s="34" t="s">
        <v>28</v>
      </c>
      <c r="M9" s="31"/>
      <c r="N9" s="28" t="s">
        <v>96</v>
      </c>
      <c r="O9" s="31"/>
      <c r="P9" s="28"/>
      <c r="Q9" s="32"/>
      <c r="R9" s="32"/>
      <c r="S9" s="33">
        <v>20.0</v>
      </c>
      <c r="T9" s="28" t="s">
        <v>102</v>
      </c>
      <c r="U9" s="26" t="s">
        <v>104</v>
      </c>
    </row>
    <row r="10">
      <c r="A10" s="35">
        <v>6.0</v>
      </c>
      <c r="B10" s="36" t="s">
        <v>137</v>
      </c>
      <c r="C10" s="37" t="s">
        <v>138</v>
      </c>
      <c r="D10" s="35" t="s">
        <v>75</v>
      </c>
      <c r="E10" s="57" t="s">
        <v>140</v>
      </c>
      <c r="F10" s="37"/>
      <c r="G10" s="37"/>
      <c r="H10" s="35" t="s">
        <v>81</v>
      </c>
      <c r="I10" s="40" t="s">
        <v>142</v>
      </c>
      <c r="J10" s="30" t="s">
        <v>90</v>
      </c>
      <c r="K10" s="35" t="s">
        <v>92</v>
      </c>
      <c r="L10" s="35" t="s">
        <v>28</v>
      </c>
      <c r="M10" s="42"/>
      <c r="N10" s="37" t="s">
        <v>96</v>
      </c>
      <c r="O10" s="42"/>
      <c r="P10" s="37"/>
      <c r="Q10" s="44"/>
      <c r="R10" s="44"/>
      <c r="S10" s="45">
        <v>20.0</v>
      </c>
      <c r="T10" s="37" t="s">
        <v>145</v>
      </c>
      <c r="U10" s="35" t="s">
        <v>104</v>
      </c>
    </row>
    <row r="11">
      <c r="A11" s="26">
        <v>7.0</v>
      </c>
      <c r="B11" s="27" t="s">
        <v>146</v>
      </c>
      <c r="C11" s="28" t="s">
        <v>138</v>
      </c>
      <c r="D11" s="26" t="s">
        <v>75</v>
      </c>
      <c r="E11" s="26" t="s">
        <v>147</v>
      </c>
      <c r="F11" s="28"/>
      <c r="G11" s="28"/>
      <c r="H11" s="26" t="s">
        <v>81</v>
      </c>
      <c r="I11" s="29" t="s">
        <v>142</v>
      </c>
      <c r="J11" s="30" t="s">
        <v>90</v>
      </c>
      <c r="K11" s="26" t="s">
        <v>92</v>
      </c>
      <c r="L11" s="26" t="s">
        <v>28</v>
      </c>
      <c r="M11" s="31"/>
      <c r="N11" s="28" t="s">
        <v>96</v>
      </c>
      <c r="O11" s="31"/>
      <c r="P11" s="28"/>
      <c r="Q11" s="32"/>
      <c r="R11" s="32"/>
      <c r="S11" s="33">
        <v>20.0</v>
      </c>
      <c r="T11" s="28" t="s">
        <v>102</v>
      </c>
      <c r="U11" s="26" t="s">
        <v>104</v>
      </c>
    </row>
    <row r="12">
      <c r="A12" s="35">
        <v>8.0</v>
      </c>
      <c r="B12" s="36" t="s">
        <v>164</v>
      </c>
      <c r="C12" s="37" t="s">
        <v>168</v>
      </c>
      <c r="D12" s="35" t="s">
        <v>75</v>
      </c>
      <c r="E12" s="57" t="s">
        <v>171</v>
      </c>
      <c r="F12" s="37"/>
      <c r="G12" s="37"/>
      <c r="H12" s="35" t="s">
        <v>81</v>
      </c>
      <c r="I12" s="40" t="s">
        <v>142</v>
      </c>
      <c r="J12" s="30" t="s">
        <v>90</v>
      </c>
      <c r="K12" s="35" t="s">
        <v>92</v>
      </c>
      <c r="L12" s="35" t="s">
        <v>28</v>
      </c>
      <c r="M12" s="42"/>
      <c r="N12" s="37" t="s">
        <v>96</v>
      </c>
      <c r="O12" s="42"/>
      <c r="P12" s="37"/>
      <c r="Q12" s="44"/>
      <c r="R12" s="44"/>
      <c r="S12" s="45">
        <v>20.0</v>
      </c>
      <c r="T12" s="37" t="s">
        <v>145</v>
      </c>
      <c r="U12" s="35" t="s">
        <v>104</v>
      </c>
    </row>
    <row r="13">
      <c r="A13" s="26">
        <v>9.0</v>
      </c>
      <c r="B13" s="27" t="s">
        <v>179</v>
      </c>
      <c r="C13" s="28" t="s">
        <v>180</v>
      </c>
      <c r="D13" s="26" t="s">
        <v>75</v>
      </c>
      <c r="E13" s="26" t="s">
        <v>181</v>
      </c>
      <c r="F13" s="28"/>
      <c r="G13" s="28"/>
      <c r="H13" s="26" t="s">
        <v>81</v>
      </c>
      <c r="I13" s="29" t="s">
        <v>182</v>
      </c>
      <c r="J13" s="64" t="s">
        <v>183</v>
      </c>
      <c r="K13" s="26" t="s">
        <v>92</v>
      </c>
      <c r="L13" s="26" t="s">
        <v>28</v>
      </c>
      <c r="M13" s="31"/>
      <c r="N13" s="28" t="s">
        <v>96</v>
      </c>
      <c r="O13" s="31"/>
      <c r="P13" s="28"/>
      <c r="Q13" s="32"/>
      <c r="R13" s="32"/>
      <c r="S13" s="33">
        <v>20.0</v>
      </c>
      <c r="T13" s="28" t="s">
        <v>184</v>
      </c>
      <c r="U13" s="26" t="s">
        <v>104</v>
      </c>
    </row>
    <row r="14">
      <c r="A14" s="35">
        <v>10.0</v>
      </c>
      <c r="B14" s="36" t="s">
        <v>185</v>
      </c>
      <c r="C14" s="37" t="s">
        <v>186</v>
      </c>
      <c r="D14" s="35" t="s">
        <v>75</v>
      </c>
      <c r="E14" s="35" t="s">
        <v>187</v>
      </c>
      <c r="F14" s="37"/>
      <c r="G14" s="37"/>
      <c r="H14" s="35" t="s">
        <v>81</v>
      </c>
      <c r="I14" s="40" t="s">
        <v>182</v>
      </c>
      <c r="J14" s="65" t="s">
        <v>183</v>
      </c>
      <c r="K14" s="35" t="s">
        <v>92</v>
      </c>
      <c r="L14" s="35" t="s">
        <v>28</v>
      </c>
      <c r="M14" s="42"/>
      <c r="N14" s="37" t="s">
        <v>96</v>
      </c>
      <c r="O14" s="42"/>
      <c r="P14" s="37"/>
      <c r="Q14" s="44"/>
      <c r="R14" s="44"/>
      <c r="S14" s="45">
        <v>20.0</v>
      </c>
      <c r="T14" s="37" t="s">
        <v>188</v>
      </c>
      <c r="U14" s="35" t="s">
        <v>104</v>
      </c>
    </row>
    <row r="15">
      <c r="A15" s="26">
        <v>11.0</v>
      </c>
      <c r="B15" s="27" t="s">
        <v>189</v>
      </c>
      <c r="C15" s="28" t="s">
        <v>186</v>
      </c>
      <c r="D15" s="26" t="s">
        <v>75</v>
      </c>
      <c r="E15" s="57" t="s">
        <v>190</v>
      </c>
      <c r="F15" s="28"/>
      <c r="G15" s="28"/>
      <c r="H15" s="26" t="s">
        <v>81</v>
      </c>
      <c r="I15" s="29" t="s">
        <v>182</v>
      </c>
      <c r="J15" s="65" t="s">
        <v>183</v>
      </c>
      <c r="K15" s="26" t="s">
        <v>92</v>
      </c>
      <c r="L15" s="26" t="s">
        <v>28</v>
      </c>
      <c r="M15" s="31"/>
      <c r="N15" s="28" t="s">
        <v>96</v>
      </c>
      <c r="O15" s="31"/>
      <c r="P15" s="28"/>
      <c r="Q15" s="32"/>
      <c r="R15" s="32"/>
      <c r="S15" s="33">
        <v>20.0</v>
      </c>
      <c r="T15" s="28" t="s">
        <v>145</v>
      </c>
      <c r="U15" s="26" t="s">
        <v>104</v>
      </c>
    </row>
    <row r="16">
      <c r="A16" s="35">
        <v>12.0</v>
      </c>
      <c r="B16" s="36" t="s">
        <v>204</v>
      </c>
      <c r="C16" s="37" t="s">
        <v>186</v>
      </c>
      <c r="D16" s="35" t="s">
        <v>75</v>
      </c>
      <c r="E16" s="57" t="s">
        <v>210</v>
      </c>
      <c r="F16" s="37"/>
      <c r="G16" s="37"/>
      <c r="H16" s="35" t="s">
        <v>81</v>
      </c>
      <c r="I16" s="40" t="s">
        <v>182</v>
      </c>
      <c r="J16" s="65" t="s">
        <v>183</v>
      </c>
      <c r="K16" s="35" t="s">
        <v>92</v>
      </c>
      <c r="L16" s="35" t="s">
        <v>28</v>
      </c>
      <c r="M16" s="42"/>
      <c r="N16" s="37" t="s">
        <v>96</v>
      </c>
      <c r="O16" s="42"/>
      <c r="P16" s="37"/>
      <c r="Q16" s="44"/>
      <c r="R16" s="44"/>
      <c r="S16" s="45">
        <v>20.0</v>
      </c>
      <c r="T16" s="37" t="s">
        <v>145</v>
      </c>
      <c r="U16" s="35" t="s">
        <v>104</v>
      </c>
    </row>
    <row r="17">
      <c r="A17" s="26">
        <v>13.0</v>
      </c>
      <c r="B17" s="27" t="s">
        <v>230</v>
      </c>
      <c r="C17" s="28" t="s">
        <v>186</v>
      </c>
      <c r="D17" s="26" t="s">
        <v>75</v>
      </c>
      <c r="E17" s="26" t="s">
        <v>235</v>
      </c>
      <c r="F17" s="28"/>
      <c r="G17" s="28"/>
      <c r="H17" s="26" t="s">
        <v>81</v>
      </c>
      <c r="I17" s="29" t="s">
        <v>182</v>
      </c>
      <c r="J17" s="65" t="s">
        <v>183</v>
      </c>
      <c r="K17" s="26" t="s">
        <v>92</v>
      </c>
      <c r="L17" s="26" t="s">
        <v>28</v>
      </c>
      <c r="M17" s="31"/>
      <c r="N17" s="28" t="s">
        <v>96</v>
      </c>
      <c r="O17" s="31"/>
      <c r="P17" s="28"/>
      <c r="Q17" s="32"/>
      <c r="R17" s="32"/>
      <c r="S17" s="33">
        <v>20.0</v>
      </c>
      <c r="T17" s="28" t="s">
        <v>188</v>
      </c>
      <c r="U17" s="26" t="s">
        <v>104</v>
      </c>
    </row>
    <row r="18">
      <c r="A18" s="35">
        <v>14.0</v>
      </c>
      <c r="B18" s="36" t="s">
        <v>259</v>
      </c>
      <c r="C18" s="37" t="s">
        <v>186</v>
      </c>
      <c r="D18" s="35" t="s">
        <v>75</v>
      </c>
      <c r="E18" s="35" t="s">
        <v>263</v>
      </c>
      <c r="F18" s="37"/>
      <c r="G18" s="37"/>
      <c r="H18" s="35" t="s">
        <v>81</v>
      </c>
      <c r="I18" s="40" t="s">
        <v>182</v>
      </c>
      <c r="J18" s="65" t="s">
        <v>183</v>
      </c>
      <c r="K18" s="35" t="s">
        <v>92</v>
      </c>
      <c r="L18" s="35" t="s">
        <v>28</v>
      </c>
      <c r="M18" s="42"/>
      <c r="N18" s="37" t="s">
        <v>96</v>
      </c>
      <c r="O18" s="42"/>
      <c r="P18" s="37"/>
      <c r="Q18" s="44"/>
      <c r="R18" s="44"/>
      <c r="S18" s="45">
        <v>20.0</v>
      </c>
      <c r="T18" s="37" t="s">
        <v>188</v>
      </c>
      <c r="U18" s="35" t="s">
        <v>104</v>
      </c>
    </row>
    <row r="19">
      <c r="A19" s="26">
        <v>15.0</v>
      </c>
      <c r="B19" s="27" t="s">
        <v>273</v>
      </c>
      <c r="C19" s="28" t="s">
        <v>274</v>
      </c>
      <c r="D19" s="26" t="s">
        <v>75</v>
      </c>
      <c r="E19" s="26" t="s">
        <v>275</v>
      </c>
      <c r="F19" s="28"/>
      <c r="G19" s="28"/>
      <c r="H19" s="26" t="s">
        <v>81</v>
      </c>
      <c r="I19" s="29" t="s">
        <v>278</v>
      </c>
      <c r="J19" s="65" t="s">
        <v>183</v>
      </c>
      <c r="K19" s="26" t="s">
        <v>92</v>
      </c>
      <c r="L19" s="26" t="s">
        <v>28</v>
      </c>
      <c r="M19" s="31"/>
      <c r="N19" s="28" t="s">
        <v>96</v>
      </c>
      <c r="O19" s="31"/>
      <c r="P19" s="28"/>
      <c r="Q19" s="32"/>
      <c r="R19" s="32"/>
      <c r="S19" s="33">
        <v>20.0</v>
      </c>
      <c r="T19" s="28" t="s">
        <v>291</v>
      </c>
      <c r="U19" s="26" t="s">
        <v>104</v>
      </c>
    </row>
    <row r="20">
      <c r="A20" s="35">
        <v>16.0</v>
      </c>
      <c r="B20" s="36" t="s">
        <v>292</v>
      </c>
      <c r="C20" s="37" t="s">
        <v>274</v>
      </c>
      <c r="D20" s="35" t="s">
        <v>75</v>
      </c>
      <c r="E20" s="35" t="s">
        <v>293</v>
      </c>
      <c r="F20" s="37"/>
      <c r="G20" s="37"/>
      <c r="H20" s="35" t="s">
        <v>81</v>
      </c>
      <c r="I20" s="40" t="s">
        <v>278</v>
      </c>
      <c r="J20" s="65" t="s">
        <v>183</v>
      </c>
      <c r="K20" s="35" t="s">
        <v>92</v>
      </c>
      <c r="L20" s="35" t="s">
        <v>28</v>
      </c>
      <c r="M20" s="42"/>
      <c r="N20" s="37" t="s">
        <v>96</v>
      </c>
      <c r="O20" s="42"/>
      <c r="P20" s="37"/>
      <c r="Q20" s="44"/>
      <c r="R20" s="44"/>
      <c r="S20" s="45">
        <v>20.0</v>
      </c>
      <c r="T20" s="37" t="s">
        <v>188</v>
      </c>
      <c r="U20" s="35" t="s">
        <v>104</v>
      </c>
    </row>
    <row r="21">
      <c r="A21" s="26">
        <v>17.0</v>
      </c>
      <c r="B21" s="27" t="s">
        <v>294</v>
      </c>
      <c r="C21" s="28" t="s">
        <v>295</v>
      </c>
      <c r="D21" s="26" t="s">
        <v>75</v>
      </c>
      <c r="E21" s="26" t="s">
        <v>296</v>
      </c>
      <c r="F21" s="28"/>
      <c r="G21" s="28"/>
      <c r="H21" s="26" t="s">
        <v>81</v>
      </c>
      <c r="I21" s="29" t="s">
        <v>278</v>
      </c>
      <c r="J21" s="65" t="s">
        <v>183</v>
      </c>
      <c r="K21" s="26" t="s">
        <v>92</v>
      </c>
      <c r="L21" s="26" t="s">
        <v>28</v>
      </c>
      <c r="M21" s="31"/>
      <c r="N21" s="28" t="s">
        <v>96</v>
      </c>
      <c r="O21" s="31"/>
      <c r="P21" s="28"/>
      <c r="Q21" s="32"/>
      <c r="R21" s="32"/>
      <c r="S21" s="33">
        <v>20.0</v>
      </c>
      <c r="T21" s="28" t="s">
        <v>297</v>
      </c>
      <c r="U21" s="26" t="s">
        <v>104</v>
      </c>
    </row>
    <row r="22">
      <c r="A22" s="35">
        <v>18.0</v>
      </c>
      <c r="B22" s="36" t="s">
        <v>300</v>
      </c>
      <c r="C22" s="37" t="s">
        <v>302</v>
      </c>
      <c r="D22" s="35" t="s">
        <v>75</v>
      </c>
      <c r="E22" s="35" t="s">
        <v>303</v>
      </c>
      <c r="F22" s="37"/>
      <c r="G22" s="37"/>
      <c r="H22" s="35" t="s">
        <v>81</v>
      </c>
      <c r="I22" s="40" t="s">
        <v>304</v>
      </c>
      <c r="J22" s="65" t="s">
        <v>183</v>
      </c>
      <c r="K22" s="35" t="s">
        <v>92</v>
      </c>
      <c r="L22" s="35" t="s">
        <v>28</v>
      </c>
      <c r="M22" s="42"/>
      <c r="N22" s="37" t="s">
        <v>96</v>
      </c>
      <c r="O22" s="42"/>
      <c r="P22" s="37"/>
      <c r="Q22" s="44"/>
      <c r="R22" s="44"/>
      <c r="S22" s="45">
        <v>20.0</v>
      </c>
      <c r="T22" s="37" t="s">
        <v>305</v>
      </c>
      <c r="U22" s="35" t="s">
        <v>104</v>
      </c>
    </row>
    <row r="23">
      <c r="A23" s="26">
        <v>19.0</v>
      </c>
      <c r="B23" s="27" t="s">
        <v>306</v>
      </c>
      <c r="C23" s="28" t="s">
        <v>307</v>
      </c>
      <c r="D23" s="26" t="s">
        <v>75</v>
      </c>
      <c r="E23" s="57" t="s">
        <v>308</v>
      </c>
      <c r="F23" s="28"/>
      <c r="G23" s="28"/>
      <c r="H23" s="26" t="s">
        <v>81</v>
      </c>
      <c r="I23" s="29" t="s">
        <v>304</v>
      </c>
      <c r="J23" s="65" t="s">
        <v>183</v>
      </c>
      <c r="K23" s="26" t="s">
        <v>92</v>
      </c>
      <c r="L23" s="26" t="s">
        <v>28</v>
      </c>
      <c r="M23" s="31"/>
      <c r="N23" s="28" t="s">
        <v>96</v>
      </c>
      <c r="O23" s="31"/>
      <c r="P23" s="28"/>
      <c r="Q23" s="32"/>
      <c r="R23" s="32"/>
      <c r="S23" s="33">
        <v>20.0</v>
      </c>
      <c r="T23" s="28" t="s">
        <v>313</v>
      </c>
      <c r="U23" s="26" t="s">
        <v>104</v>
      </c>
    </row>
    <row r="24">
      <c r="A24" s="35">
        <v>20.0</v>
      </c>
      <c r="B24" s="36" t="s">
        <v>314</v>
      </c>
      <c r="C24" s="37" t="s">
        <v>307</v>
      </c>
      <c r="D24" s="35" t="s">
        <v>75</v>
      </c>
      <c r="E24" s="57" t="s">
        <v>315</v>
      </c>
      <c r="F24" s="37"/>
      <c r="G24" s="37"/>
      <c r="H24" s="35" t="s">
        <v>81</v>
      </c>
      <c r="I24" s="40" t="s">
        <v>304</v>
      </c>
      <c r="J24" s="65" t="s">
        <v>183</v>
      </c>
      <c r="K24" s="35" t="s">
        <v>92</v>
      </c>
      <c r="L24" s="35" t="s">
        <v>28</v>
      </c>
      <c r="M24" s="42"/>
      <c r="N24" s="37" t="s">
        <v>96</v>
      </c>
      <c r="O24" s="42"/>
      <c r="P24" s="37"/>
      <c r="Q24" s="44"/>
      <c r="R24" s="44"/>
      <c r="S24" s="45">
        <v>20.0</v>
      </c>
      <c r="T24" s="37" t="s">
        <v>313</v>
      </c>
      <c r="U24" s="35" t="s">
        <v>104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68AA6DD-ED45-43FC-B904-5BF0DBC60F62}" filter="1" showAutoFilter="1">
      <autoFilter ref="$A$4:$U$24"/>
    </customSheetView>
  </customSheetViews>
  <mergeCells count="2">
    <mergeCell ref="A1:U1"/>
    <mergeCell ref="A2:U2"/>
  </mergeCells>
  <conditionalFormatting sqref="L5:L24">
    <cfRule type="expression" dxfId="5" priority="1">
      <formula>L5="Fechado"</formula>
    </cfRule>
  </conditionalFormatting>
  <conditionalFormatting sqref="L5:L24">
    <cfRule type="expression" dxfId="6" priority="2">
      <formula>L5="Perdido"</formula>
    </cfRule>
  </conditionalFormatting>
  <conditionalFormatting sqref="L5:L24">
    <cfRule type="expression" dxfId="7" priority="3">
      <formula>L5="Contato enviado"</formula>
    </cfRule>
  </conditionalFormatting>
  <conditionalFormatting sqref="O5:O24">
    <cfRule type="expression" dxfId="8" priority="4">
      <formula>AND(O5&lt;TODAY(),O5&lt;&gt;"",L5&lt;&gt;"Fechado",L5&lt;&gt;"Perdido")</formula>
    </cfRule>
  </conditionalFormatting>
  <dataValidations>
    <dataValidation type="list" allowBlank="1" showInputMessage="1" showErrorMessage="1" prompt="Valor inválido - Escolha uma opção da lista." sqref="J5:J24">
      <formula1>"Alta,Média,Baixa"</formula1>
    </dataValidation>
    <dataValidation type="list" allowBlank="1" showInputMessage="1" showErrorMessage="1" prompt="Valor inválido - Escolha uma opção da lista." sqref="K5:K24">
      <formula1>"Gustavo,Manel,Ambos,A definir"</formula1>
    </dataValidation>
    <dataValidation type="list" allowBlank="1" showInputMessage="1" showErrorMessage="1" prompt="Valor inválido - Escolha uma opção da lista." sqref="U5:U24">
      <formula1>"Pendente,Parcial,Sim,Não"</formula1>
    </dataValidation>
    <dataValidation type="list" allowBlank="1" showInputMessage="1" showErrorMessage="1" prompt="Valor inválido - Escolha uma opção da lista." sqref="H5:H24">
      <formula1>"Não verificado,Não tem site,Tem site,Tem apenas redes sociais"</formula1>
    </dataValidation>
    <dataValidation type="list" allowBlank="1" showInputMessage="1" showErrorMessage="1" prompt="Valor inválido - Escolha uma opção da lista." sqref="P5:P24">
      <formula1>"Landing page,Site institucional,Cardápio digital,Catálogo,Agendamento/WhatsApp,Loja virtual,Sistema sob medida,A definir"</formula1>
    </dataValidation>
    <dataValidation type="list" allowBlank="1" showInputMessage="1" showErrorMessage="1" prompt="Valor inválido - Escolha uma opção da lista." sqref="L5:L24">
      <formula1>"Não contatado,Contato enviado,Respondeu,Qualificado,Demonstração solicitada,Reunião marcada,Proposta enviada,Negociação,Fechado,Perdido,Sem retorno"</formula1>
    </dataValidation>
    <dataValidation type="list" allowBlank="1" showInputMessage="1" showErrorMessage="1" prompt="Valor inválido - Escolha uma opção da lista." sqref="N5:N24">
      <formula1>"Pesquisar Instagram e site,Enviar primeira mensagem,Fazer follow-up,Preparar demonstração,Enviar proposta,Agendar conversa,Confirmar pagamento,Arquivar lead"</formula1>
    </dataValidation>
  </dataValidation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ref="I19"/>
    <hyperlink r:id="rId16" ref="I20"/>
    <hyperlink r:id="rId17" ref="I21"/>
    <hyperlink r:id="rId18" ref="I22"/>
    <hyperlink r:id="rId19" ref="I23"/>
    <hyperlink r:id="rId20" ref="I24"/>
  </hyperlinks>
  <printOptions/>
  <pageMargins bottom="0.5" footer="0.0" header="0.0" left="0.25" right="0.25" top="0.5"/>
  <pageSetup fitToHeight="0" orientation="landscape"/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0"/>
    <col customWidth="1" min="2" max="2" width="19.0"/>
    <col customWidth="1" min="3" max="3" width="4.0"/>
    <col customWidth="1" min="4" max="4" width="28.0"/>
    <col customWidth="1" min="5" max="5" width="14.0"/>
    <col customWidth="1" min="6" max="6" width="4.0"/>
    <col customWidth="1" min="7" max="7" width="20.0"/>
    <col customWidth="1" min="8" max="8" width="14.0"/>
    <col customWidth="1" min="9" max="26" width="8.71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3"/>
    </row>
    <row r="2">
      <c r="A2" s="4" t="s">
        <v>3</v>
      </c>
      <c r="B2" s="2"/>
      <c r="C2" s="2"/>
      <c r="D2" s="2"/>
      <c r="E2" s="2"/>
      <c r="F2" s="2"/>
      <c r="G2" s="2"/>
      <c r="H2" s="3"/>
    </row>
    <row r="4">
      <c r="A4" s="8" t="s">
        <v>6</v>
      </c>
      <c r="B4" s="8" t="s">
        <v>9</v>
      </c>
      <c r="D4" s="8" t="s">
        <v>10</v>
      </c>
      <c r="E4" s="8" t="s">
        <v>11</v>
      </c>
      <c r="G4" s="8" t="s">
        <v>12</v>
      </c>
      <c r="H4" s="8" t="s">
        <v>13</v>
      </c>
    </row>
    <row r="5" ht="24.0" customHeight="1">
      <c r="A5" s="13" t="s">
        <v>14</v>
      </c>
      <c r="B5" s="19">
        <f>COUNTA('CRM de Leads'!B5:B24)</f>
        <v>20</v>
      </c>
      <c r="D5" s="13" t="s">
        <v>28</v>
      </c>
      <c r="E5" s="19">
        <f>COUNTIF('CRM de Leads'!L5:L24,D5)</f>
        <v>20</v>
      </c>
      <c r="G5" s="13" t="s">
        <v>41</v>
      </c>
      <c r="H5" s="19">
        <f>COUNTIF('CRM de Leads'!K5:K24,G5)</f>
        <v>0</v>
      </c>
    </row>
    <row r="6" ht="24.0" customHeight="1">
      <c r="A6" s="23" t="s">
        <v>57</v>
      </c>
      <c r="B6" s="25">
        <f>COUNTIF('CRM de Leads'!L5:L24,"Não contatado")</f>
        <v>20</v>
      </c>
      <c r="D6" s="23" t="s">
        <v>71</v>
      </c>
      <c r="E6" s="25">
        <f>COUNTIF('CRM de Leads'!L5:L24,D6)</f>
        <v>0</v>
      </c>
      <c r="G6" s="23" t="s">
        <v>33</v>
      </c>
      <c r="H6" s="25">
        <f>COUNTIF('CRM de Leads'!K5:K24,G6)</f>
        <v>0</v>
      </c>
    </row>
    <row r="7" ht="24.0" customHeight="1">
      <c r="A7" s="13" t="s">
        <v>79</v>
      </c>
      <c r="B7" s="19">
        <f>COUNTIF('CRM de Leads'!L5:L24,"Contato enviado")</f>
        <v>0</v>
      </c>
      <c r="D7" s="13" t="s">
        <v>84</v>
      </c>
      <c r="E7" s="19">
        <f>COUNTIF('CRM de Leads'!L5:L24,D7)</f>
        <v>0</v>
      </c>
      <c r="G7" s="13" t="s">
        <v>23</v>
      </c>
      <c r="H7" s="19">
        <f>COUNTIF('CRM de Leads'!K5:K24,G7)</f>
        <v>0</v>
      </c>
    </row>
    <row r="8" ht="24.0" customHeight="1">
      <c r="A8" s="23" t="s">
        <v>87</v>
      </c>
      <c r="B8" s="25">
        <f>COUNTIF('CRM de Leads'!L5:L24,"Respondeu")+COUNTIF('CRM de Leads'!L5:L24,"Qualificado")</f>
        <v>0</v>
      </c>
      <c r="D8" s="23" t="s">
        <v>91</v>
      </c>
      <c r="E8" s="25">
        <f>COUNTIF('CRM de Leads'!L5:L24,D8)</f>
        <v>0</v>
      </c>
      <c r="G8" s="23" t="s">
        <v>92</v>
      </c>
      <c r="H8" s="25">
        <f>COUNTIF('CRM de Leads'!K5:K24,G8)</f>
        <v>20</v>
      </c>
    </row>
    <row r="9" ht="24.0" customHeight="1">
      <c r="A9" s="13" t="s">
        <v>95</v>
      </c>
      <c r="B9" s="19">
        <f>COUNTIF('CRM de Leads'!L5:L24,"Demonstração solicitada")</f>
        <v>0</v>
      </c>
      <c r="D9" s="13" t="s">
        <v>98</v>
      </c>
      <c r="E9" s="19">
        <f>COUNTIF('CRM de Leads'!L5:L24,D9)</f>
        <v>0</v>
      </c>
    </row>
    <row r="10" ht="24.0" customHeight="1">
      <c r="A10" s="23" t="s">
        <v>101</v>
      </c>
      <c r="B10" s="25">
        <f>COUNTIF('CRM de Leads'!L5:L24,"Proposta enviada")</f>
        <v>0</v>
      </c>
      <c r="D10" s="23" t="s">
        <v>105</v>
      </c>
      <c r="E10" s="25">
        <f>COUNTIF('CRM de Leads'!L5:L24,D10)</f>
        <v>0</v>
      </c>
    </row>
    <row r="11" ht="24.0" customHeight="1">
      <c r="A11" s="13" t="s">
        <v>108</v>
      </c>
      <c r="B11" s="19">
        <f>COUNTIF('CRM de Leads'!L5:L24,"Fechado")</f>
        <v>0</v>
      </c>
      <c r="D11" s="13" t="s">
        <v>111</v>
      </c>
      <c r="E11" s="19">
        <f>COUNTIF('CRM de Leads'!L5:L24,D11)</f>
        <v>0</v>
      </c>
    </row>
    <row r="12" ht="24.0" customHeight="1">
      <c r="A12" s="23" t="s">
        <v>112</v>
      </c>
      <c r="B12" s="43">
        <f>SUM('CRM de Leads'!R5:R24)</f>
        <v>0</v>
      </c>
      <c r="D12" s="23" t="s">
        <v>113</v>
      </c>
      <c r="E12" s="25">
        <f>COUNTIF('CRM de Leads'!L5:L24,D12)</f>
        <v>0</v>
      </c>
    </row>
    <row r="13" ht="24.0" customHeight="1">
      <c r="A13" s="13" t="s">
        <v>114</v>
      </c>
      <c r="B13" s="46">
        <v>1000.0</v>
      </c>
      <c r="D13" s="13" t="s">
        <v>115</v>
      </c>
      <c r="E13" s="19">
        <f>COUNTIF('CRM de Leads'!L5:L24,D13)</f>
        <v>0</v>
      </c>
    </row>
    <row r="14" ht="24.0" customHeight="1">
      <c r="A14" s="23" t="s">
        <v>118</v>
      </c>
      <c r="B14" s="43">
        <f>MAX(0,B12-B11)</f>
        <v>0</v>
      </c>
      <c r="D14" s="23" t="s">
        <v>119</v>
      </c>
      <c r="E14" s="25">
        <f>COUNTIF('CRM de Leads'!L5:L24,D14)</f>
        <v>0</v>
      </c>
    </row>
    <row r="15" ht="24.0" customHeight="1">
      <c r="A15" s="13" t="s">
        <v>120</v>
      </c>
      <c r="B15" s="19">
        <f>COUNTIFS('CRM de Leads'!O5:O24,"&lt;"&amp;TODAY(),'CRM de Leads'!O5:O24,"&gt;0",'CRM de Leads'!L5:L24,"&lt;&gt;Fechado",'CRM de Leads'!L5:L24,"&lt;&gt;Perdido")</f>
        <v>0</v>
      </c>
      <c r="D15" s="13" t="s">
        <v>123</v>
      </c>
      <c r="E15" s="19">
        <f>COUNTIF('CRM de Leads'!L5:L24,D15)</f>
        <v>0</v>
      </c>
    </row>
    <row r="18">
      <c r="A18" s="48" t="s">
        <v>124</v>
      </c>
    </row>
    <row r="19" ht="24.75" customHeight="1">
      <c r="A19" s="49" t="s">
        <v>125</v>
      </c>
      <c r="B19" s="2"/>
      <c r="C19" s="2"/>
      <c r="D19" s="2"/>
      <c r="E19" s="2"/>
      <c r="F19" s="2"/>
      <c r="G19" s="2"/>
      <c r="H19" s="3"/>
    </row>
    <row r="20" ht="24.75" customHeight="1">
      <c r="A20" s="51" t="s">
        <v>127</v>
      </c>
      <c r="B20" s="2"/>
      <c r="C20" s="2"/>
      <c r="D20" s="2"/>
      <c r="E20" s="2"/>
      <c r="F20" s="2"/>
      <c r="G20" s="2"/>
      <c r="H20" s="3"/>
    </row>
    <row r="21" ht="24.75" customHeight="1">
      <c r="A21" s="49" t="s">
        <v>129</v>
      </c>
      <c r="B21" s="2"/>
      <c r="C21" s="2"/>
      <c r="D21" s="2"/>
      <c r="E21" s="2"/>
      <c r="F21" s="2"/>
      <c r="G21" s="2"/>
      <c r="H21" s="3"/>
    </row>
    <row r="22" ht="24.75" customHeight="1">
      <c r="A22" s="51" t="s">
        <v>131</v>
      </c>
      <c r="B22" s="2"/>
      <c r="C22" s="2"/>
      <c r="D22" s="2"/>
      <c r="E22" s="2"/>
      <c r="F22" s="2"/>
      <c r="G22" s="2"/>
      <c r="H22" s="3"/>
    </row>
    <row r="23" ht="24.75" customHeight="1">
      <c r="A23" s="49" t="s">
        <v>132</v>
      </c>
      <c r="B23" s="2"/>
      <c r="C23" s="2"/>
      <c r="D23" s="2"/>
      <c r="E23" s="2"/>
      <c r="F23" s="2"/>
      <c r="G23" s="2"/>
      <c r="H23" s="3"/>
    </row>
    <row r="24" ht="15.75" customHeight="1"/>
    <row r="25" ht="15.75" customHeight="1"/>
    <row r="26">
      <c r="A26" s="48" t="s">
        <v>133</v>
      </c>
      <c r="B26" s="53" t="s">
        <v>134</v>
      </c>
    </row>
    <row r="27" ht="15.75" customHeight="1"/>
    <row r="28" ht="15.75" customHeight="1">
      <c r="A28" s="54" t="s">
        <v>135</v>
      </c>
      <c r="B28" s="2"/>
      <c r="C28" s="2"/>
      <c r="D28" s="3"/>
    </row>
    <row r="29" ht="15.75" customHeight="1">
      <c r="A29" s="23" t="s">
        <v>136</v>
      </c>
      <c r="B29" s="55">
        <v>0.0</v>
      </c>
    </row>
    <row r="30" ht="15.75" customHeight="1">
      <c r="A30" s="13" t="s">
        <v>139</v>
      </c>
      <c r="B30" s="56">
        <v>0.0</v>
      </c>
    </row>
    <row r="31" ht="15.75" customHeight="1">
      <c r="A31" s="25" t="s">
        <v>141</v>
      </c>
      <c r="B31" s="58">
        <f>B29-B30</f>
        <v>0</v>
      </c>
    </row>
    <row r="32" ht="15.75" customHeight="1">
      <c r="A32" s="19" t="s">
        <v>143</v>
      </c>
      <c r="B32" s="58">
        <f>MAX(0,B31)*50%</f>
        <v>0</v>
      </c>
    </row>
    <row r="33" ht="15.75" customHeight="1">
      <c r="A33" s="25" t="s">
        <v>144</v>
      </c>
      <c r="B33" s="58">
        <f>MAX(0,B31)*50%</f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19:H19"/>
    <mergeCell ref="A20:H20"/>
    <mergeCell ref="A21:H21"/>
    <mergeCell ref="A22:H22"/>
    <mergeCell ref="A23:H23"/>
    <mergeCell ref="A28:D28"/>
  </mergeCells>
  <printOptions/>
  <pageMargins bottom="0.5" footer="0.0" header="0.0" left="0.25" right="0.25" top="0.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A3A3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" width="29.0"/>
    <col customWidth="1" min="5" max="26" width="8.71"/>
  </cols>
  <sheetData>
    <row r="1" ht="33.75" customHeight="1">
      <c r="A1" s="1" t="s">
        <v>0</v>
      </c>
      <c r="B1" s="2"/>
      <c r="C1" s="2"/>
      <c r="D1" s="3"/>
    </row>
    <row r="2">
      <c r="A2" s="4" t="s">
        <v>2</v>
      </c>
      <c r="B2" s="2"/>
      <c r="C2" s="2"/>
      <c r="D2" s="3"/>
    </row>
    <row r="4" ht="24.0" customHeight="1">
      <c r="A4" s="5" t="s">
        <v>4</v>
      </c>
      <c r="B4" s="2"/>
      <c r="C4" s="2"/>
      <c r="D4" s="3"/>
    </row>
    <row r="5" ht="22.5" customHeight="1">
      <c r="A5" s="6" t="s">
        <v>5</v>
      </c>
      <c r="B5" s="7"/>
      <c r="C5" s="7"/>
      <c r="D5" s="9"/>
    </row>
    <row r="6" ht="22.5" customHeight="1">
      <c r="A6" s="10"/>
      <c r="D6" s="11"/>
    </row>
    <row r="7" ht="22.5" customHeight="1">
      <c r="A7" s="12"/>
      <c r="B7" s="17"/>
      <c r="C7" s="17"/>
      <c r="D7" s="20"/>
    </row>
    <row r="9" ht="24.0" customHeight="1">
      <c r="A9" s="5" t="s">
        <v>35</v>
      </c>
      <c r="B9" s="2"/>
      <c r="C9" s="2"/>
      <c r="D9" s="3"/>
    </row>
    <row r="10" ht="22.5" customHeight="1">
      <c r="A10" s="6" t="s">
        <v>50</v>
      </c>
      <c r="B10" s="7"/>
      <c r="C10" s="7"/>
      <c r="D10" s="9"/>
    </row>
    <row r="11" ht="22.5" customHeight="1">
      <c r="A11" s="10"/>
      <c r="D11" s="11"/>
    </row>
    <row r="12" ht="22.5" customHeight="1">
      <c r="A12" s="12"/>
      <c r="B12" s="17"/>
      <c r="C12" s="17"/>
      <c r="D12" s="20"/>
    </row>
    <row r="14" ht="24.0" customHeight="1">
      <c r="A14" s="5" t="s">
        <v>65</v>
      </c>
      <c r="B14" s="2"/>
      <c r="C14" s="2"/>
      <c r="D14" s="3"/>
    </row>
    <row r="15" ht="22.5" customHeight="1">
      <c r="A15" s="6" t="s">
        <v>68</v>
      </c>
      <c r="B15" s="7"/>
      <c r="C15" s="7"/>
      <c r="D15" s="9"/>
    </row>
    <row r="16" ht="22.5" customHeight="1">
      <c r="A16" s="10"/>
      <c r="D16" s="11"/>
    </row>
    <row r="17" ht="22.5" customHeight="1">
      <c r="A17" s="12"/>
      <c r="B17" s="17"/>
      <c r="C17" s="17"/>
      <c r="D17" s="20"/>
    </row>
    <row r="19" ht="24.0" customHeight="1">
      <c r="A19" s="5" t="s">
        <v>70</v>
      </c>
      <c r="B19" s="2"/>
      <c r="C19" s="2"/>
      <c r="D19" s="3"/>
    </row>
    <row r="20" ht="22.5" customHeight="1">
      <c r="A20" s="6" t="s">
        <v>73</v>
      </c>
      <c r="B20" s="7"/>
      <c r="C20" s="7"/>
      <c r="D20" s="9"/>
    </row>
    <row r="21" ht="22.5" customHeight="1">
      <c r="A21" s="10"/>
      <c r="D21" s="11"/>
    </row>
    <row r="22" ht="22.5" customHeight="1">
      <c r="A22" s="12"/>
      <c r="B22" s="17"/>
      <c r="C22" s="17"/>
      <c r="D22" s="20"/>
    </row>
    <row r="23" ht="15.75" customHeight="1"/>
    <row r="24" ht="24.0" customHeight="1">
      <c r="A24" s="5" t="s">
        <v>77</v>
      </c>
      <c r="B24" s="2"/>
      <c r="C24" s="2"/>
      <c r="D24" s="3"/>
    </row>
    <row r="25" ht="22.5" customHeight="1">
      <c r="A25" s="6" t="s">
        <v>78</v>
      </c>
      <c r="B25" s="7"/>
      <c r="C25" s="7"/>
      <c r="D25" s="9"/>
    </row>
    <row r="26" ht="22.5" customHeight="1">
      <c r="A26" s="10"/>
      <c r="D26" s="11"/>
    </row>
    <row r="27" ht="22.5" customHeight="1">
      <c r="A27" s="12"/>
      <c r="B27" s="17"/>
      <c r="C27" s="17"/>
      <c r="D27" s="20"/>
    </row>
    <row r="28" ht="15.75" customHeight="1"/>
    <row r="29" ht="24.0" customHeight="1">
      <c r="A29" s="5" t="s">
        <v>80</v>
      </c>
      <c r="B29" s="2"/>
      <c r="C29" s="2"/>
      <c r="D29" s="3"/>
    </row>
    <row r="30" ht="22.5" customHeight="1">
      <c r="A30" s="6" t="s">
        <v>82</v>
      </c>
      <c r="B30" s="7"/>
      <c r="C30" s="7"/>
      <c r="D30" s="9"/>
    </row>
    <row r="31" ht="22.5" customHeight="1">
      <c r="A31" s="10"/>
      <c r="D31" s="11"/>
    </row>
    <row r="32" ht="22.5" customHeight="1">
      <c r="A32" s="12"/>
      <c r="B32" s="17"/>
      <c r="C32" s="17"/>
      <c r="D32" s="20"/>
    </row>
    <row r="33" ht="15.75" customHeight="1"/>
    <row r="34" ht="24.0" customHeight="1">
      <c r="A34" s="5" t="s">
        <v>85</v>
      </c>
      <c r="B34" s="2"/>
      <c r="C34" s="2"/>
      <c r="D34" s="3"/>
    </row>
    <row r="35" ht="22.5" customHeight="1">
      <c r="A35" s="6" t="s">
        <v>86</v>
      </c>
      <c r="B35" s="7"/>
      <c r="C35" s="7"/>
      <c r="D35" s="9"/>
    </row>
    <row r="36" ht="22.5" customHeight="1">
      <c r="A36" s="10"/>
      <c r="D36" s="11"/>
    </row>
    <row r="37" ht="22.5" customHeight="1">
      <c r="A37" s="12"/>
      <c r="B37" s="17"/>
      <c r="C37" s="17"/>
      <c r="D37" s="20"/>
    </row>
    <row r="38" ht="15.75" customHeight="1"/>
    <row r="39" ht="24.0" customHeight="1">
      <c r="A39" s="5" t="s">
        <v>88</v>
      </c>
      <c r="B39" s="2"/>
      <c r="C39" s="2"/>
      <c r="D39" s="3"/>
    </row>
    <row r="40" ht="22.5" customHeight="1">
      <c r="A40" s="6" t="s">
        <v>89</v>
      </c>
      <c r="B40" s="7"/>
      <c r="C40" s="7"/>
      <c r="D40" s="9"/>
    </row>
    <row r="41" ht="22.5" customHeight="1">
      <c r="A41" s="10"/>
      <c r="D41" s="11"/>
    </row>
    <row r="42" ht="22.5" customHeight="1">
      <c r="A42" s="12"/>
      <c r="B42" s="17"/>
      <c r="C42" s="17"/>
      <c r="D42" s="20"/>
    </row>
    <row r="43" ht="15.75" customHeight="1"/>
    <row r="44" ht="24.0" customHeight="1">
      <c r="A44" s="5" t="s">
        <v>93</v>
      </c>
      <c r="B44" s="2"/>
      <c r="C44" s="2"/>
      <c r="D44" s="3"/>
    </row>
    <row r="45" ht="22.5" customHeight="1">
      <c r="A45" s="6" t="s">
        <v>94</v>
      </c>
      <c r="B45" s="7"/>
      <c r="C45" s="7"/>
      <c r="D45" s="9"/>
    </row>
    <row r="46" ht="22.5" customHeight="1">
      <c r="A46" s="10"/>
      <c r="D46" s="11"/>
    </row>
    <row r="47" ht="22.5" customHeight="1">
      <c r="A47" s="12"/>
      <c r="B47" s="17"/>
      <c r="C47" s="17"/>
      <c r="D47" s="20"/>
    </row>
    <row r="48" ht="15.75" customHeight="1"/>
    <row r="49" ht="24.0" customHeight="1">
      <c r="A49" s="5" t="s">
        <v>97</v>
      </c>
      <c r="B49" s="2"/>
      <c r="C49" s="2"/>
      <c r="D49" s="3"/>
    </row>
    <row r="50" ht="22.5" customHeight="1">
      <c r="A50" s="6" t="s">
        <v>99</v>
      </c>
      <c r="B50" s="7"/>
      <c r="C50" s="7"/>
      <c r="D50" s="9"/>
    </row>
    <row r="51" ht="22.5" customHeight="1">
      <c r="A51" s="10"/>
      <c r="D51" s="11"/>
    </row>
    <row r="52" ht="22.5" customHeight="1">
      <c r="A52" s="12"/>
      <c r="B52" s="17"/>
      <c r="C52" s="17"/>
      <c r="D52" s="20"/>
    </row>
    <row r="53" ht="15.75" customHeight="1"/>
    <row r="54" ht="24.0" customHeight="1">
      <c r="A54" s="5" t="s">
        <v>100</v>
      </c>
      <c r="B54" s="2"/>
      <c r="C54" s="2"/>
      <c r="D54" s="3"/>
    </row>
    <row r="55" ht="22.5" customHeight="1">
      <c r="A55" s="6" t="s">
        <v>103</v>
      </c>
      <c r="B55" s="7"/>
      <c r="C55" s="7"/>
      <c r="D55" s="9"/>
    </row>
    <row r="56" ht="22.5" customHeight="1">
      <c r="A56" s="10"/>
      <c r="D56" s="11"/>
    </row>
    <row r="57" ht="22.5" customHeight="1">
      <c r="A57" s="12"/>
      <c r="B57" s="17"/>
      <c r="C57" s="17"/>
      <c r="D57" s="20"/>
    </row>
    <row r="58" ht="15.75" customHeight="1"/>
    <row r="59" ht="15.75" customHeight="1">
      <c r="A59" s="38" t="s">
        <v>106</v>
      </c>
      <c r="B59" s="2"/>
      <c r="C59" s="2"/>
      <c r="D59" s="3"/>
    </row>
    <row r="60" ht="15.75" customHeight="1">
      <c r="A60" s="39" t="s">
        <v>110</v>
      </c>
      <c r="B60" s="7"/>
      <c r="C60" s="7"/>
      <c r="D60" s="9"/>
    </row>
    <row r="61" ht="15.75" customHeight="1">
      <c r="A61" s="10"/>
      <c r="D61" s="11"/>
    </row>
    <row r="62" ht="15.75" customHeight="1">
      <c r="A62" s="12"/>
      <c r="B62" s="17"/>
      <c r="C62" s="17"/>
      <c r="D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6">
    <mergeCell ref="A1:D1"/>
    <mergeCell ref="A2:D2"/>
    <mergeCell ref="A4:D4"/>
    <mergeCell ref="A5:D7"/>
    <mergeCell ref="A9:D9"/>
    <mergeCell ref="A10:D12"/>
    <mergeCell ref="A14:D14"/>
    <mergeCell ref="A15:D17"/>
    <mergeCell ref="A19:D19"/>
    <mergeCell ref="A20:D22"/>
    <mergeCell ref="A24:D24"/>
    <mergeCell ref="A25:D27"/>
    <mergeCell ref="A29:D29"/>
    <mergeCell ref="A30:D32"/>
    <mergeCell ref="A50:D52"/>
    <mergeCell ref="A54:D54"/>
    <mergeCell ref="A55:D57"/>
    <mergeCell ref="A59:D59"/>
    <mergeCell ref="A60:D62"/>
    <mergeCell ref="A34:D34"/>
    <mergeCell ref="A35:D37"/>
    <mergeCell ref="A39:D39"/>
    <mergeCell ref="A40:D42"/>
    <mergeCell ref="A44:D44"/>
    <mergeCell ref="A45:D47"/>
    <mergeCell ref="A49:D49"/>
  </mergeCells>
  <printOptions/>
  <pageMargins bottom="0.5" footer="0.0" header="0.0" left="0.25" right="0.25" top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37373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48.0"/>
    <col customWidth="1" min="4" max="4" width="42.0"/>
    <col customWidth="1" min="5" max="26" width="8.71"/>
  </cols>
  <sheetData>
    <row r="1" ht="33.75" customHeight="1">
      <c r="A1" s="14" t="s">
        <v>7</v>
      </c>
      <c r="B1" s="2"/>
      <c r="C1" s="2"/>
      <c r="D1" s="3"/>
    </row>
    <row r="3">
      <c r="A3" s="8" t="s">
        <v>17</v>
      </c>
      <c r="B3" s="8" t="s">
        <v>18</v>
      </c>
      <c r="C3" s="8" t="s">
        <v>19</v>
      </c>
      <c r="D3" s="8" t="s">
        <v>20</v>
      </c>
    </row>
    <row r="4" ht="54.75" customHeight="1">
      <c r="A4" s="16" t="s">
        <v>21</v>
      </c>
      <c r="B4" s="18" t="s">
        <v>23</v>
      </c>
      <c r="C4" s="18" t="s">
        <v>25</v>
      </c>
      <c r="D4" s="18" t="s">
        <v>27</v>
      </c>
    </row>
    <row r="5" ht="54.75" customHeight="1">
      <c r="A5" s="21" t="s">
        <v>30</v>
      </c>
      <c r="B5" s="22" t="s">
        <v>33</v>
      </c>
      <c r="C5" s="22" t="s">
        <v>36</v>
      </c>
      <c r="D5" s="22" t="s">
        <v>38</v>
      </c>
    </row>
    <row r="6" ht="54.75" customHeight="1">
      <c r="A6" s="16" t="s">
        <v>40</v>
      </c>
      <c r="B6" s="18" t="s">
        <v>41</v>
      </c>
      <c r="C6" s="18" t="s">
        <v>43</v>
      </c>
      <c r="D6" s="18" t="s">
        <v>44</v>
      </c>
    </row>
    <row r="7" ht="54.75" customHeight="1">
      <c r="A7" s="21" t="s">
        <v>45</v>
      </c>
      <c r="B7" s="22" t="s">
        <v>46</v>
      </c>
      <c r="C7" s="22" t="s">
        <v>48</v>
      </c>
      <c r="D7" s="22" t="s">
        <v>51</v>
      </c>
    </row>
    <row r="8" ht="54.75" customHeight="1">
      <c r="A8" s="16" t="s">
        <v>52</v>
      </c>
      <c r="B8" s="18" t="s">
        <v>54</v>
      </c>
      <c r="C8" s="18" t="s">
        <v>55</v>
      </c>
      <c r="D8" s="18" t="s">
        <v>56</v>
      </c>
    </row>
    <row r="9" ht="54.75" customHeight="1">
      <c r="A9" s="21" t="s">
        <v>58</v>
      </c>
      <c r="B9" s="22" t="s">
        <v>33</v>
      </c>
      <c r="C9" s="22" t="s">
        <v>60</v>
      </c>
      <c r="D9" s="22" t="s">
        <v>61</v>
      </c>
    </row>
    <row r="12" ht="36.0" customHeight="1">
      <c r="A12" s="24" t="s">
        <v>64</v>
      </c>
      <c r="B12" s="2"/>
      <c r="C12" s="2"/>
      <c r="D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2:D12"/>
  </mergeCells>
  <printOptions/>
  <pageMargins bottom="0.5" footer="0.0" header="0.0" left="0.25" right="0.25" top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3.14"/>
    <col customWidth="1" min="2" max="2" width="25.14"/>
    <col customWidth="1" min="3" max="3" width="15.0"/>
    <col customWidth="1" min="4" max="4" width="18.0"/>
    <col customWidth="1" min="5" max="5" width="130.14"/>
    <col customWidth="1" min="6" max="6" width="71.86"/>
  </cols>
  <sheetData>
    <row r="1">
      <c r="A1" s="50" t="s">
        <v>126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</row>
    <row r="2">
      <c r="A2" s="59" t="s">
        <v>166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</row>
    <row r="4">
      <c r="A4" s="66" t="s">
        <v>191</v>
      </c>
      <c r="B4" s="66" t="s">
        <v>192</v>
      </c>
      <c r="C4" s="66" t="s">
        <v>194</v>
      </c>
      <c r="D4" s="66" t="s">
        <v>195</v>
      </c>
      <c r="E4" s="66" t="s">
        <v>196</v>
      </c>
      <c r="F4" s="66" t="s">
        <v>197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</row>
    <row r="5">
      <c r="A5" s="61" t="s">
        <v>236</v>
      </c>
      <c r="B5" s="61" t="s">
        <v>237</v>
      </c>
      <c r="C5" s="61" t="s">
        <v>203</v>
      </c>
      <c r="D5" s="61" t="s">
        <v>238</v>
      </c>
      <c r="E5" s="61" t="s">
        <v>239</v>
      </c>
      <c r="F5" s="86" t="s">
        <v>241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</row>
    <row r="6">
      <c r="A6" s="62" t="s">
        <v>286</v>
      </c>
      <c r="B6" s="62" t="s">
        <v>287</v>
      </c>
      <c r="C6" s="62" t="s">
        <v>288</v>
      </c>
      <c r="D6" s="62" t="s">
        <v>288</v>
      </c>
      <c r="E6" s="62" t="s">
        <v>289</v>
      </c>
      <c r="F6" s="86" t="s">
        <v>290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</row>
    <row r="7">
      <c r="A7" s="61" t="s">
        <v>298</v>
      </c>
      <c r="B7" s="61" t="s">
        <v>287</v>
      </c>
      <c r="C7" s="61" t="s">
        <v>299</v>
      </c>
      <c r="D7" s="61" t="s">
        <v>299</v>
      </c>
      <c r="E7" s="61" t="s">
        <v>301</v>
      </c>
      <c r="F7" s="86" t="s">
        <v>290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</row>
    <row r="8">
      <c r="A8" s="62" t="s">
        <v>309</v>
      </c>
      <c r="B8" s="62" t="s">
        <v>287</v>
      </c>
      <c r="C8" s="62" t="s">
        <v>310</v>
      </c>
      <c r="D8" s="62" t="s">
        <v>310</v>
      </c>
      <c r="E8" s="62" t="s">
        <v>311</v>
      </c>
      <c r="F8" s="86" t="s">
        <v>312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</row>
    <row r="9">
      <c r="A9" s="61" t="s">
        <v>316</v>
      </c>
      <c r="B9" s="61" t="s">
        <v>287</v>
      </c>
      <c r="C9" s="61" t="s">
        <v>207</v>
      </c>
      <c r="D9" s="61" t="s">
        <v>207</v>
      </c>
      <c r="E9" s="61" t="s">
        <v>317</v>
      </c>
      <c r="F9" s="86" t="s">
        <v>318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</row>
    <row r="10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J10" s="52"/>
      <c r="JK10" s="52"/>
      <c r="JL10" s="52"/>
      <c r="JM10" s="52"/>
      <c r="JN10" s="52"/>
      <c r="JO10" s="52"/>
      <c r="JP10" s="52"/>
      <c r="JQ10" s="52"/>
      <c r="JR10" s="52"/>
      <c r="JS10" s="52"/>
      <c r="JT10" s="52"/>
      <c r="JU10" s="52"/>
      <c r="JV10" s="52"/>
      <c r="JW10" s="52"/>
      <c r="JX10" s="52"/>
      <c r="JY10" s="52"/>
      <c r="JZ10" s="52"/>
      <c r="KA10" s="52"/>
      <c r="KB10" s="52"/>
      <c r="KC10" s="52"/>
      <c r="KD10" s="52"/>
      <c r="KE10" s="52"/>
      <c r="KF10" s="52"/>
      <c r="KG10" s="52"/>
      <c r="KH10" s="52"/>
      <c r="KI10" s="52"/>
      <c r="KJ10" s="52"/>
      <c r="KK10" s="52"/>
      <c r="KL10" s="52"/>
      <c r="KM10" s="52"/>
      <c r="KN10" s="52"/>
      <c r="KO10" s="52"/>
      <c r="KP10" s="52"/>
      <c r="KQ10" s="52"/>
      <c r="KR10" s="52"/>
      <c r="KS10" s="52"/>
      <c r="KT10" s="52"/>
      <c r="KU10" s="52"/>
      <c r="KV10" s="52"/>
      <c r="KW10" s="52"/>
      <c r="KX10" s="52"/>
      <c r="KY10" s="52"/>
      <c r="KZ10" s="52"/>
      <c r="LA10" s="52"/>
      <c r="LB10" s="52"/>
      <c r="LC10" s="52"/>
      <c r="LD10" s="52"/>
      <c r="LE10" s="52"/>
      <c r="LF10" s="52"/>
      <c r="LG10" s="52"/>
      <c r="LH10" s="52"/>
      <c r="LI10" s="52"/>
      <c r="LJ10" s="52"/>
      <c r="LK10" s="52"/>
      <c r="LL10" s="52"/>
      <c r="LM10" s="52"/>
      <c r="LN10" s="52"/>
      <c r="LO10" s="52"/>
      <c r="LP10" s="52"/>
      <c r="LQ10" s="52"/>
      <c r="LR10" s="52"/>
      <c r="LS10" s="52"/>
      <c r="LT10" s="52"/>
      <c r="LU10" s="52"/>
      <c r="LV10" s="52"/>
      <c r="LW10" s="52"/>
      <c r="LX10" s="52"/>
      <c r="LY10" s="52"/>
      <c r="LZ10" s="52"/>
      <c r="MA10" s="52"/>
      <c r="MB10" s="52"/>
      <c r="MC10" s="52"/>
      <c r="MD10" s="52"/>
      <c r="ME10" s="52"/>
      <c r="MF10" s="52"/>
      <c r="MG10" s="52"/>
      <c r="MH10" s="52"/>
      <c r="MI10" s="52"/>
      <c r="MJ10" s="52"/>
      <c r="MK10" s="52"/>
      <c r="ML10" s="52"/>
      <c r="MM10" s="52"/>
      <c r="MN10" s="52"/>
      <c r="MO10" s="52"/>
      <c r="MP10" s="52"/>
      <c r="MQ10" s="52"/>
      <c r="MR10" s="52"/>
      <c r="MS10" s="52"/>
      <c r="MT10" s="52"/>
      <c r="MU10" s="52"/>
      <c r="MV10" s="52"/>
      <c r="MW10" s="52"/>
      <c r="MX10" s="52"/>
      <c r="MY10" s="52"/>
      <c r="MZ10" s="52"/>
      <c r="NA10" s="52"/>
      <c r="NB10" s="52"/>
      <c r="NC10" s="52"/>
      <c r="ND10" s="52"/>
      <c r="NE10" s="52"/>
      <c r="NF10" s="52"/>
      <c r="NG10" s="52"/>
      <c r="NH10" s="52"/>
      <c r="NI10" s="52"/>
      <c r="NJ10" s="52"/>
      <c r="NK10" s="52"/>
      <c r="NL10" s="52"/>
      <c r="NM10" s="52"/>
      <c r="NN10" s="52"/>
      <c r="NO10" s="52"/>
      <c r="NP10" s="52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/>
      <c r="OB10" s="52"/>
      <c r="OC10" s="52"/>
      <c r="OD10" s="52"/>
      <c r="OE10" s="52"/>
      <c r="OF10" s="52"/>
      <c r="OG10" s="52"/>
      <c r="OH10" s="52"/>
      <c r="OI10" s="52"/>
      <c r="OJ10" s="52"/>
      <c r="OK10" s="52"/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/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  <c r="QD10" s="52"/>
      <c r="QE10" s="52"/>
      <c r="QF10" s="52"/>
      <c r="QG10" s="52"/>
      <c r="QH10" s="52"/>
      <c r="QI10" s="52"/>
      <c r="QJ10" s="52"/>
      <c r="QK10" s="52"/>
      <c r="QL10" s="52"/>
      <c r="QM10" s="52"/>
      <c r="QN10" s="52"/>
      <c r="QO10" s="52"/>
      <c r="QP10" s="52"/>
      <c r="QQ10" s="52"/>
      <c r="QR10" s="52"/>
      <c r="QS10" s="52"/>
      <c r="QT10" s="52"/>
      <c r="QU10" s="52"/>
      <c r="QV10" s="52"/>
      <c r="QW10" s="52"/>
      <c r="QX10" s="52"/>
      <c r="QY10" s="52"/>
      <c r="QZ10" s="52"/>
      <c r="RA10" s="52"/>
      <c r="RB10" s="52"/>
      <c r="RC10" s="52"/>
      <c r="RD10" s="52"/>
      <c r="RE10" s="52"/>
      <c r="RF10" s="52"/>
      <c r="RG10" s="52"/>
      <c r="RH10" s="52"/>
      <c r="RI10" s="52"/>
      <c r="RJ10" s="52"/>
      <c r="RK10" s="52"/>
      <c r="RL10" s="52"/>
      <c r="RM10" s="52"/>
      <c r="RN10" s="52"/>
      <c r="RO10" s="52"/>
      <c r="RP10" s="52"/>
      <c r="RQ10" s="52"/>
      <c r="RR10" s="52"/>
      <c r="RS10" s="52"/>
      <c r="RT10" s="52"/>
      <c r="RU10" s="52"/>
      <c r="RV10" s="52"/>
      <c r="RW10" s="52"/>
      <c r="RX10" s="52"/>
      <c r="RY10" s="52"/>
      <c r="RZ10" s="52"/>
      <c r="SA10" s="52"/>
      <c r="SB10" s="52"/>
      <c r="SC10" s="52"/>
      <c r="SD10" s="52"/>
      <c r="SE10" s="52"/>
      <c r="SF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</row>
    <row r="12">
      <c r="A12" s="100" t="s">
        <v>319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  <c r="IW12" s="52"/>
      <c r="IX12" s="52"/>
      <c r="IY12" s="52"/>
      <c r="IZ12" s="52"/>
      <c r="JA12" s="52"/>
      <c r="JB12" s="52"/>
      <c r="JC12" s="52"/>
      <c r="JD12" s="52"/>
      <c r="JE12" s="52"/>
      <c r="JF12" s="52"/>
      <c r="JG12" s="52"/>
      <c r="JH12" s="52"/>
      <c r="JI12" s="52"/>
      <c r="JJ12" s="52"/>
      <c r="JK12" s="52"/>
      <c r="JL12" s="52"/>
      <c r="JM12" s="52"/>
      <c r="JN12" s="52"/>
      <c r="JO12" s="52"/>
      <c r="JP12" s="52"/>
      <c r="JQ12" s="52"/>
      <c r="JR12" s="52"/>
      <c r="JS12" s="52"/>
      <c r="JT12" s="52"/>
      <c r="JU12" s="52"/>
      <c r="JV12" s="52"/>
      <c r="JW12" s="52"/>
      <c r="JX12" s="52"/>
      <c r="JY12" s="52"/>
      <c r="JZ12" s="52"/>
      <c r="KA12" s="52"/>
      <c r="KB12" s="52"/>
      <c r="KC12" s="52"/>
      <c r="KD12" s="52"/>
      <c r="KE12" s="52"/>
      <c r="KF12" s="52"/>
      <c r="KG12" s="52"/>
      <c r="KH12" s="52"/>
      <c r="KI12" s="52"/>
      <c r="KJ12" s="52"/>
      <c r="KK12" s="52"/>
      <c r="KL12" s="52"/>
      <c r="KM12" s="52"/>
      <c r="KN12" s="52"/>
      <c r="KO12" s="52"/>
      <c r="KP12" s="52"/>
      <c r="KQ12" s="52"/>
      <c r="KR12" s="52"/>
      <c r="KS12" s="52"/>
      <c r="KT12" s="52"/>
      <c r="KU12" s="52"/>
      <c r="KV12" s="52"/>
      <c r="KW12" s="52"/>
      <c r="KX12" s="52"/>
      <c r="KY12" s="52"/>
      <c r="KZ12" s="52"/>
      <c r="LA12" s="52"/>
      <c r="LB12" s="52"/>
      <c r="LC12" s="52"/>
      <c r="LD12" s="52"/>
      <c r="LE12" s="52"/>
      <c r="LF12" s="52"/>
      <c r="LG12" s="52"/>
      <c r="LH12" s="52"/>
      <c r="LI12" s="52"/>
      <c r="LJ12" s="52"/>
      <c r="LK12" s="52"/>
      <c r="LL12" s="52"/>
      <c r="LM12" s="52"/>
      <c r="LN12" s="52"/>
      <c r="LO12" s="52"/>
      <c r="LP12" s="52"/>
      <c r="LQ12" s="52"/>
      <c r="LR12" s="52"/>
      <c r="LS12" s="52"/>
      <c r="LT12" s="52"/>
      <c r="LU12" s="52"/>
      <c r="LV12" s="52"/>
      <c r="LW12" s="52"/>
      <c r="LX12" s="52"/>
      <c r="LY12" s="52"/>
      <c r="LZ12" s="52"/>
      <c r="MA12" s="52"/>
      <c r="MB12" s="52"/>
      <c r="MC12" s="52"/>
      <c r="MD12" s="52"/>
      <c r="ME12" s="52"/>
      <c r="MF12" s="52"/>
      <c r="MG12" s="52"/>
      <c r="MH12" s="52"/>
      <c r="MI12" s="52"/>
      <c r="MJ12" s="52"/>
      <c r="MK12" s="52"/>
      <c r="ML12" s="52"/>
      <c r="MM12" s="52"/>
      <c r="MN12" s="52"/>
      <c r="MO12" s="52"/>
      <c r="MP12" s="52"/>
      <c r="MQ12" s="52"/>
      <c r="MR12" s="52"/>
      <c r="MS12" s="52"/>
      <c r="MT12" s="52"/>
      <c r="MU12" s="52"/>
      <c r="MV12" s="52"/>
      <c r="MW12" s="52"/>
      <c r="MX12" s="52"/>
      <c r="MY12" s="52"/>
      <c r="MZ12" s="52"/>
      <c r="NA12" s="52"/>
      <c r="NB12" s="52"/>
      <c r="NC12" s="52"/>
      <c r="ND12" s="52"/>
      <c r="NE12" s="52"/>
      <c r="NF12" s="52"/>
      <c r="NG12" s="52"/>
      <c r="NH12" s="52"/>
      <c r="NI12" s="52"/>
      <c r="NJ12" s="52"/>
      <c r="NK12" s="52"/>
      <c r="NL12" s="52"/>
      <c r="NM12" s="52"/>
      <c r="NN12" s="52"/>
      <c r="NO12" s="52"/>
      <c r="NP12" s="52"/>
      <c r="NQ12" s="52"/>
      <c r="NR12" s="52"/>
      <c r="NS12" s="52"/>
      <c r="NT12" s="52"/>
      <c r="NU12" s="52"/>
      <c r="NV12" s="52"/>
      <c r="NW12" s="52"/>
      <c r="NX12" s="52"/>
      <c r="NY12" s="52"/>
      <c r="NZ12" s="52"/>
      <c r="OA12" s="52"/>
      <c r="OB12" s="52"/>
      <c r="OC12" s="52"/>
      <c r="OD12" s="52"/>
      <c r="OE12" s="52"/>
      <c r="OF12" s="52"/>
      <c r="OG12" s="52"/>
      <c r="OH12" s="52"/>
      <c r="OI12" s="52"/>
      <c r="OJ12" s="52"/>
      <c r="OK12" s="52"/>
      <c r="OL12" s="52"/>
      <c r="OM12" s="52"/>
      <c r="ON12" s="52"/>
      <c r="OO12" s="52"/>
      <c r="OP12" s="52"/>
      <c r="OQ12" s="52"/>
      <c r="OR12" s="52"/>
      <c r="OS12" s="52"/>
      <c r="OT12" s="52"/>
      <c r="OU12" s="52"/>
      <c r="OV12" s="52"/>
      <c r="OW12" s="52"/>
      <c r="OX12" s="52"/>
      <c r="OY12" s="52"/>
      <c r="OZ12" s="52"/>
      <c r="PA12" s="52"/>
      <c r="PB12" s="52"/>
      <c r="PC12" s="52"/>
      <c r="PD12" s="52"/>
      <c r="PE12" s="52"/>
      <c r="PF12" s="52"/>
      <c r="PG12" s="52"/>
      <c r="PH12" s="52"/>
      <c r="PI12" s="52"/>
      <c r="PJ12" s="52"/>
      <c r="PK12" s="52"/>
      <c r="PL12" s="52"/>
      <c r="PM12" s="52"/>
      <c r="PN12" s="52"/>
      <c r="PO12" s="52"/>
      <c r="PP12" s="52"/>
      <c r="PQ12" s="52"/>
      <c r="PR12" s="52"/>
      <c r="PS12" s="52"/>
      <c r="PT12" s="52"/>
      <c r="PU12" s="52"/>
      <c r="PV12" s="52"/>
      <c r="PW12" s="52"/>
      <c r="PX12" s="52"/>
      <c r="PY12" s="52"/>
      <c r="PZ12" s="52"/>
      <c r="QA12" s="52"/>
      <c r="QB12" s="52"/>
      <c r="QC12" s="52"/>
      <c r="QD12" s="52"/>
      <c r="QE12" s="52"/>
      <c r="QF12" s="52"/>
      <c r="QG12" s="52"/>
      <c r="QH12" s="52"/>
      <c r="QI12" s="52"/>
      <c r="QJ12" s="52"/>
      <c r="QK12" s="52"/>
      <c r="QL12" s="52"/>
      <c r="QM12" s="52"/>
      <c r="QN12" s="52"/>
      <c r="QO12" s="52"/>
      <c r="QP12" s="52"/>
      <c r="QQ12" s="52"/>
      <c r="QR12" s="52"/>
      <c r="QS12" s="52"/>
      <c r="QT12" s="52"/>
      <c r="QU12" s="52"/>
      <c r="QV12" s="52"/>
      <c r="QW12" s="52"/>
      <c r="QX12" s="52"/>
      <c r="QY12" s="52"/>
      <c r="QZ12" s="52"/>
      <c r="RA12" s="52"/>
      <c r="RB12" s="52"/>
      <c r="RC12" s="52"/>
      <c r="RD12" s="52"/>
      <c r="RE12" s="52"/>
      <c r="RF12" s="52"/>
      <c r="RG12" s="52"/>
      <c r="RH12" s="52"/>
      <c r="RI12" s="52"/>
      <c r="RJ12" s="52"/>
      <c r="RK12" s="52"/>
      <c r="RL12" s="52"/>
      <c r="RM12" s="52"/>
      <c r="RN12" s="52"/>
      <c r="RO12" s="52"/>
      <c r="RP12" s="52"/>
      <c r="RQ12" s="52"/>
      <c r="RR12" s="52"/>
      <c r="RS12" s="52"/>
      <c r="RT12" s="52"/>
      <c r="RU12" s="52"/>
      <c r="RV12" s="52"/>
      <c r="RW12" s="52"/>
      <c r="RX12" s="52"/>
      <c r="RY12" s="52"/>
      <c r="RZ12" s="52"/>
      <c r="SA12" s="52"/>
      <c r="SB12" s="52"/>
      <c r="SC12" s="52"/>
      <c r="SD12" s="52"/>
      <c r="SE12" s="52"/>
      <c r="SF12" s="52"/>
    </row>
    <row r="16">
      <c r="A16" s="66" t="s">
        <v>320</v>
      </c>
      <c r="B16" s="66" t="s">
        <v>321</v>
      </c>
    </row>
    <row r="17">
      <c r="A17" s="101" t="s">
        <v>322</v>
      </c>
    </row>
    <row r="18">
      <c r="A18" s="101" t="s">
        <v>323</v>
      </c>
    </row>
    <row r="20">
      <c r="A20" s="66" t="s">
        <v>320</v>
      </c>
      <c r="B20" s="66" t="s">
        <v>324</v>
      </c>
    </row>
    <row r="21">
      <c r="A21" s="101" t="s">
        <v>325</v>
      </c>
    </row>
    <row r="22">
      <c r="A22" s="101" t="s">
        <v>326</v>
      </c>
    </row>
  </sheetData>
  <mergeCells count="3">
    <mergeCell ref="A1:F1"/>
    <mergeCell ref="A2:F2"/>
    <mergeCell ref="A12:F12"/>
  </mergeCells>
  <hyperlinks>
    <hyperlink r:id="rId1" ref="F5"/>
    <hyperlink r:id="rId2" ref="F6"/>
    <hyperlink r:id="rId3" ref="F7"/>
    <hyperlink r:id="rId4" ref="F8"/>
    <hyperlink r:id="rId5" ref="F9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36.86"/>
    <col customWidth="1" min="3" max="3" width="79.71"/>
    <col customWidth="1" min="4" max="4" width="72.86"/>
  </cols>
  <sheetData>
    <row r="1">
      <c r="A1" s="50" t="s">
        <v>148</v>
      </c>
    </row>
    <row r="2">
      <c r="A2" s="59" t="s">
        <v>149</v>
      </c>
    </row>
    <row r="3">
      <c r="A3" s="52"/>
      <c r="B3" s="52"/>
      <c r="C3" s="52"/>
      <c r="D3" s="52"/>
    </row>
    <row r="4">
      <c r="A4" s="60" t="s">
        <v>150</v>
      </c>
      <c r="B4" s="60" t="s">
        <v>151</v>
      </c>
      <c r="C4" s="60" t="s">
        <v>152</v>
      </c>
      <c r="D4" s="60" t="s">
        <v>153</v>
      </c>
    </row>
    <row r="5">
      <c r="A5" s="61" t="s">
        <v>154</v>
      </c>
      <c r="B5" s="61" t="s">
        <v>155</v>
      </c>
      <c r="C5" s="61" t="s">
        <v>156</v>
      </c>
      <c r="D5" s="61" t="s">
        <v>157</v>
      </c>
    </row>
    <row r="6">
      <c r="A6" s="62" t="s">
        <v>158</v>
      </c>
      <c r="B6" s="62" t="s">
        <v>159</v>
      </c>
      <c r="C6" s="62" t="s">
        <v>160</v>
      </c>
      <c r="D6" s="62" t="s">
        <v>161</v>
      </c>
    </row>
    <row r="7">
      <c r="A7" s="61" t="s">
        <v>162</v>
      </c>
      <c r="B7" s="61" t="s">
        <v>163</v>
      </c>
      <c r="C7" s="61" t="s">
        <v>165</v>
      </c>
      <c r="D7" s="61" t="s">
        <v>167</v>
      </c>
    </row>
    <row r="8">
      <c r="A8" s="62" t="s">
        <v>169</v>
      </c>
      <c r="B8" s="62" t="s">
        <v>170</v>
      </c>
      <c r="C8" s="62" t="s">
        <v>172</v>
      </c>
      <c r="D8" s="62" t="s">
        <v>173</v>
      </c>
    </row>
    <row r="9">
      <c r="A9" s="61" t="s">
        <v>174</v>
      </c>
      <c r="B9" s="61" t="s">
        <v>175</v>
      </c>
      <c r="C9" s="61" t="s">
        <v>176</v>
      </c>
      <c r="D9" s="61" t="s">
        <v>177</v>
      </c>
    </row>
    <row r="10">
      <c r="A10" s="52"/>
      <c r="B10" s="52"/>
      <c r="C10" s="52"/>
      <c r="D10" s="52"/>
    </row>
    <row r="11">
      <c r="A11" s="52"/>
      <c r="B11" s="52"/>
      <c r="C11" s="52"/>
      <c r="D11" s="52"/>
    </row>
    <row r="12">
      <c r="A12" s="63" t="s">
        <v>178</v>
      </c>
    </row>
  </sheetData>
  <mergeCells count="3">
    <mergeCell ref="A1:D1"/>
    <mergeCell ref="A2:D2"/>
    <mergeCell ref="A12:D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9.14"/>
    <col customWidth="1" min="2" max="2" width="9.71"/>
    <col customWidth="1" min="3" max="3" width="56.71"/>
  </cols>
  <sheetData>
    <row r="1">
      <c r="A1" s="50" t="s">
        <v>193</v>
      </c>
    </row>
    <row r="2">
      <c r="A2" s="59" t="s">
        <v>198</v>
      </c>
    </row>
    <row r="3">
      <c r="A3" s="52"/>
      <c r="B3" s="52"/>
      <c r="C3" s="52"/>
    </row>
    <row r="4">
      <c r="A4" s="67" t="s">
        <v>199</v>
      </c>
      <c r="B4" s="67" t="s">
        <v>200</v>
      </c>
      <c r="C4" s="67" t="s">
        <v>201</v>
      </c>
    </row>
    <row r="5">
      <c r="A5" s="68" t="s">
        <v>202</v>
      </c>
      <c r="B5" s="69" t="s">
        <v>203</v>
      </c>
      <c r="C5" s="68" t="s">
        <v>205</v>
      </c>
    </row>
    <row r="6">
      <c r="A6" s="70" t="s">
        <v>206</v>
      </c>
      <c r="B6" s="69" t="s">
        <v>207</v>
      </c>
      <c r="C6" s="70" t="s">
        <v>208</v>
      </c>
    </row>
    <row r="7">
      <c r="A7" s="68" t="s">
        <v>209</v>
      </c>
      <c r="B7" s="71">
        <v>12.0</v>
      </c>
      <c r="C7" s="68" t="s">
        <v>211</v>
      </c>
    </row>
    <row r="8">
      <c r="A8" s="70" t="s">
        <v>212</v>
      </c>
      <c r="B8" s="69" t="s">
        <v>213</v>
      </c>
      <c r="C8" s="70" t="s">
        <v>214</v>
      </c>
    </row>
    <row r="9">
      <c r="A9" s="72" t="s">
        <v>215</v>
      </c>
      <c r="B9" s="72" t="s">
        <v>203</v>
      </c>
      <c r="C9" s="72" t="s">
        <v>216</v>
      </c>
    </row>
    <row r="10">
      <c r="A10" s="73" t="s">
        <v>217</v>
      </c>
      <c r="B10" s="73" t="s">
        <v>218</v>
      </c>
      <c r="C10" s="73" t="s">
        <v>219</v>
      </c>
    </row>
    <row r="11">
      <c r="A11" s="72" t="s">
        <v>220</v>
      </c>
      <c r="B11" s="72" t="s">
        <v>213</v>
      </c>
      <c r="C11" s="72" t="s">
        <v>221</v>
      </c>
    </row>
    <row r="12">
      <c r="A12" s="74" t="s">
        <v>222</v>
      </c>
      <c r="B12" s="74" t="s">
        <v>223</v>
      </c>
      <c r="C12" s="74" t="s">
        <v>224</v>
      </c>
    </row>
    <row r="13">
      <c r="A13" s="72" t="s">
        <v>225</v>
      </c>
      <c r="B13" s="72" t="s">
        <v>226</v>
      </c>
      <c r="C13" s="72" t="s">
        <v>227</v>
      </c>
    </row>
  </sheetData>
  <mergeCells count="2">
    <mergeCell ref="A1:C1"/>
    <mergeCell ref="A2: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41.14"/>
    <col customWidth="1" min="3" max="3" width="28.57"/>
    <col customWidth="1" min="4" max="4" width="19.29"/>
    <col customWidth="1" min="5" max="5" width="22.86"/>
    <col customWidth="1" min="6" max="6" width="21.71"/>
    <col customWidth="1" min="7" max="7" width="26.0"/>
  </cols>
  <sheetData>
    <row r="1">
      <c r="A1" s="75" t="s">
        <v>228</v>
      </c>
    </row>
    <row r="2">
      <c r="A2" s="76" t="s">
        <v>229</v>
      </c>
    </row>
    <row r="3">
      <c r="A3" s="77"/>
      <c r="B3" s="77"/>
      <c r="C3" s="77"/>
      <c r="D3" s="77"/>
      <c r="E3" s="77"/>
      <c r="F3" s="77"/>
      <c r="G3" s="77"/>
    </row>
    <row r="4">
      <c r="A4" s="78" t="s">
        <v>231</v>
      </c>
      <c r="C4" s="78" t="s">
        <v>232</v>
      </c>
      <c r="E4" s="78" t="s">
        <v>233</v>
      </c>
      <c r="G4" s="78" t="s">
        <v>234</v>
      </c>
    </row>
    <row r="5">
      <c r="A5" s="79" t="s">
        <v>213</v>
      </c>
      <c r="B5" s="80"/>
      <c r="C5" s="79" t="s">
        <v>213</v>
      </c>
      <c r="D5" s="80"/>
      <c r="E5" s="79" t="s">
        <v>213</v>
      </c>
      <c r="F5" s="80"/>
      <c r="G5" s="81" t="s">
        <v>213</v>
      </c>
    </row>
    <row r="6">
      <c r="A6" s="77"/>
      <c r="B6" s="77"/>
      <c r="C6" s="77"/>
      <c r="D6" s="77"/>
      <c r="E6" s="77"/>
      <c r="F6" s="77"/>
      <c r="G6" s="77"/>
    </row>
    <row r="7">
      <c r="A7" s="75" t="s">
        <v>240</v>
      </c>
    </row>
    <row r="8">
      <c r="A8" s="82" t="s">
        <v>242</v>
      </c>
      <c r="B8" s="82" t="s">
        <v>243</v>
      </c>
      <c r="C8" s="82" t="s">
        <v>244</v>
      </c>
      <c r="D8" s="82" t="s">
        <v>245</v>
      </c>
      <c r="E8" s="82" t="s">
        <v>246</v>
      </c>
      <c r="F8" s="82" t="s">
        <v>247</v>
      </c>
      <c r="G8" s="82" t="s">
        <v>248</v>
      </c>
    </row>
    <row r="9">
      <c r="A9" s="83" t="s">
        <v>249</v>
      </c>
      <c r="B9" s="84">
        <v>112.0</v>
      </c>
      <c r="C9" s="83" t="s">
        <v>250</v>
      </c>
      <c r="D9" s="84" t="s">
        <v>251</v>
      </c>
      <c r="E9" s="84" t="s">
        <v>252</v>
      </c>
      <c r="F9" s="85"/>
      <c r="G9" s="83" t="s">
        <v>253</v>
      </c>
    </row>
    <row r="10">
      <c r="A10" s="77"/>
      <c r="B10" s="77"/>
      <c r="C10" s="77"/>
      <c r="D10" s="77"/>
      <c r="E10" s="77"/>
      <c r="F10" s="77"/>
      <c r="G10" s="77"/>
    </row>
    <row r="11">
      <c r="A11" s="75" t="s">
        <v>254</v>
      </c>
    </row>
    <row r="12">
      <c r="A12" s="76" t="s">
        <v>255</v>
      </c>
    </row>
    <row r="13">
      <c r="A13" s="77"/>
      <c r="B13" s="77"/>
      <c r="C13" s="77"/>
      <c r="D13" s="77"/>
      <c r="E13" s="77"/>
      <c r="F13" s="77"/>
      <c r="G13" s="77"/>
    </row>
    <row r="14">
      <c r="A14" s="77"/>
      <c r="B14" s="77"/>
      <c r="C14" s="77"/>
      <c r="D14" s="77"/>
      <c r="E14" s="77"/>
      <c r="F14" s="77"/>
      <c r="G14" s="77"/>
    </row>
    <row r="15">
      <c r="A15" s="77"/>
      <c r="B15" s="77"/>
      <c r="C15" s="77"/>
      <c r="D15" s="77"/>
      <c r="E15" s="77"/>
      <c r="F15" s="77"/>
      <c r="G15" s="77"/>
    </row>
    <row r="16">
      <c r="A16" s="77"/>
      <c r="B16" s="77"/>
      <c r="C16" s="77"/>
      <c r="D16" s="77"/>
      <c r="E16" s="77"/>
      <c r="F16" s="77"/>
      <c r="G16" s="77"/>
    </row>
    <row r="17">
      <c r="A17" s="82" t="s">
        <v>256</v>
      </c>
      <c r="B17" s="82" t="s">
        <v>257</v>
      </c>
      <c r="C17" s="82" t="s">
        <v>192</v>
      </c>
      <c r="D17" s="82" t="s">
        <v>258</v>
      </c>
      <c r="E17" s="82" t="s">
        <v>260</v>
      </c>
      <c r="F17" s="82" t="s">
        <v>261</v>
      </c>
      <c r="G17" s="82" t="s">
        <v>262</v>
      </c>
    </row>
    <row r="18">
      <c r="A18" s="87"/>
      <c r="B18" s="87"/>
      <c r="C18" s="87"/>
      <c r="D18" s="87"/>
      <c r="E18" s="88"/>
      <c r="F18" s="87"/>
      <c r="G18" s="87"/>
    </row>
    <row r="19">
      <c r="A19" s="89"/>
      <c r="B19" s="89"/>
      <c r="C19" s="89"/>
      <c r="D19" s="89"/>
      <c r="E19" s="89"/>
      <c r="F19" s="89"/>
      <c r="G19" s="89"/>
    </row>
    <row r="20">
      <c r="A20" s="87"/>
      <c r="B20" s="87"/>
      <c r="C20" s="87"/>
      <c r="D20" s="87"/>
      <c r="E20" s="87"/>
      <c r="F20" s="87"/>
      <c r="G20" s="87"/>
    </row>
    <row r="21">
      <c r="A21" s="89"/>
      <c r="B21" s="89"/>
      <c r="C21" s="89"/>
      <c r="D21" s="89"/>
      <c r="E21" s="89"/>
      <c r="F21" s="89"/>
      <c r="G21" s="89"/>
    </row>
    <row r="22">
      <c r="A22" s="87"/>
      <c r="B22" s="87"/>
      <c r="C22" s="87"/>
      <c r="D22" s="87"/>
      <c r="E22" s="87"/>
      <c r="F22" s="87"/>
      <c r="G22" s="87"/>
    </row>
    <row r="23">
      <c r="A23" s="89"/>
      <c r="B23" s="89"/>
      <c r="C23" s="89"/>
      <c r="D23" s="89"/>
      <c r="E23" s="89"/>
      <c r="F23" s="89"/>
      <c r="G23" s="89"/>
    </row>
    <row r="24">
      <c r="A24" s="87"/>
      <c r="B24" s="87"/>
      <c r="C24" s="87"/>
      <c r="D24" s="87"/>
      <c r="E24" s="87"/>
      <c r="F24" s="87"/>
      <c r="G24" s="87"/>
    </row>
    <row r="25">
      <c r="A25" s="77"/>
      <c r="B25" s="77"/>
      <c r="C25" s="77"/>
      <c r="D25" s="77"/>
      <c r="E25" s="77"/>
      <c r="F25" s="77"/>
      <c r="G25" s="77"/>
    </row>
    <row r="26">
      <c r="A26" s="77"/>
      <c r="B26" s="77"/>
      <c r="C26" s="77"/>
      <c r="D26" s="77"/>
      <c r="E26" s="77"/>
      <c r="F26" s="77"/>
      <c r="G26" s="77"/>
    </row>
    <row r="27">
      <c r="A27" s="75" t="s">
        <v>264</v>
      </c>
    </row>
    <row r="28">
      <c r="A28" s="82" t="s">
        <v>265</v>
      </c>
      <c r="B28" s="82" t="s">
        <v>266</v>
      </c>
      <c r="C28" s="82" t="s">
        <v>267</v>
      </c>
      <c r="D28" s="82" t="s">
        <v>9</v>
      </c>
      <c r="E28" s="82" t="s">
        <v>268</v>
      </c>
      <c r="F28" s="82" t="s">
        <v>269</v>
      </c>
      <c r="G28" s="90"/>
    </row>
    <row r="29">
      <c r="A29" s="91">
        <v>46023.0</v>
      </c>
      <c r="B29" s="92" t="s">
        <v>213</v>
      </c>
      <c r="C29" s="92" t="s">
        <v>213</v>
      </c>
      <c r="D29" s="92" t="s">
        <v>213</v>
      </c>
      <c r="E29" s="92" t="s">
        <v>213</v>
      </c>
      <c r="F29" s="92" t="s">
        <v>213</v>
      </c>
      <c r="G29" s="77"/>
    </row>
    <row r="30">
      <c r="A30" s="93" t="s">
        <v>270</v>
      </c>
      <c r="B30" s="94" t="s">
        <v>213</v>
      </c>
      <c r="C30" s="94" t="s">
        <v>213</v>
      </c>
      <c r="D30" s="94" t="s">
        <v>213</v>
      </c>
      <c r="E30" s="94" t="s">
        <v>213</v>
      </c>
      <c r="F30" s="94" t="s">
        <v>213</v>
      </c>
      <c r="G30" s="77"/>
    </row>
    <row r="31">
      <c r="A31" s="91">
        <v>46082.0</v>
      </c>
      <c r="B31" s="92" t="s">
        <v>213</v>
      </c>
      <c r="C31" s="92" t="s">
        <v>213</v>
      </c>
      <c r="D31" s="92" t="s">
        <v>213</v>
      </c>
      <c r="E31" s="92" t="s">
        <v>213</v>
      </c>
      <c r="F31" s="92" t="s">
        <v>213</v>
      </c>
      <c r="G31" s="77"/>
    </row>
    <row r="32">
      <c r="A32" s="93" t="s">
        <v>271</v>
      </c>
      <c r="B32" s="94" t="s">
        <v>213</v>
      </c>
      <c r="C32" s="94" t="s">
        <v>213</v>
      </c>
      <c r="D32" s="94" t="s">
        <v>213</v>
      </c>
      <c r="E32" s="94" t="s">
        <v>213</v>
      </c>
      <c r="F32" s="94" t="s">
        <v>213</v>
      </c>
      <c r="G32" s="77"/>
    </row>
    <row r="33">
      <c r="A33" s="95" t="s">
        <v>272</v>
      </c>
      <c r="B33" s="92" t="s">
        <v>213</v>
      </c>
      <c r="C33" s="92" t="s">
        <v>213</v>
      </c>
      <c r="D33" s="92" t="s">
        <v>213</v>
      </c>
      <c r="E33" s="92" t="s">
        <v>213</v>
      </c>
      <c r="F33" s="92" t="s">
        <v>213</v>
      </c>
      <c r="G33" s="77"/>
    </row>
    <row r="34">
      <c r="A34" s="96">
        <v>46174.0</v>
      </c>
      <c r="B34" s="94" t="s">
        <v>213</v>
      </c>
      <c r="C34" s="94" t="s">
        <v>213</v>
      </c>
      <c r="D34" s="94" t="s">
        <v>213</v>
      </c>
      <c r="E34" s="94" t="s">
        <v>213</v>
      </c>
      <c r="F34" s="94" t="s">
        <v>213</v>
      </c>
      <c r="G34" s="77"/>
    </row>
    <row r="35">
      <c r="A35" s="91">
        <v>46204.0</v>
      </c>
      <c r="B35" s="92" t="s">
        <v>213</v>
      </c>
      <c r="C35" s="92" t="s">
        <v>213</v>
      </c>
      <c r="D35" s="92" t="s">
        <v>213</v>
      </c>
      <c r="E35" s="92" t="s">
        <v>213</v>
      </c>
      <c r="F35" s="92" t="s">
        <v>213</v>
      </c>
      <c r="G35" s="77"/>
    </row>
    <row r="36">
      <c r="A36" s="93" t="s">
        <v>276</v>
      </c>
      <c r="B36" s="94" t="s">
        <v>213</v>
      </c>
      <c r="C36" s="94" t="s">
        <v>213</v>
      </c>
      <c r="D36" s="94" t="s">
        <v>213</v>
      </c>
      <c r="E36" s="94" t="s">
        <v>213</v>
      </c>
      <c r="F36" s="94" t="s">
        <v>213</v>
      </c>
      <c r="G36" s="77"/>
    </row>
    <row r="37">
      <c r="A37" s="95" t="s">
        <v>277</v>
      </c>
      <c r="B37" s="92" t="s">
        <v>213</v>
      </c>
      <c r="C37" s="92" t="s">
        <v>213</v>
      </c>
      <c r="D37" s="92" t="s">
        <v>213</v>
      </c>
      <c r="E37" s="92" t="s">
        <v>213</v>
      </c>
      <c r="F37" s="92" t="s">
        <v>213</v>
      </c>
      <c r="G37" s="77"/>
    </row>
    <row r="38">
      <c r="A38" s="93" t="s">
        <v>279</v>
      </c>
      <c r="B38" s="94" t="s">
        <v>213</v>
      </c>
      <c r="C38" s="94" t="s">
        <v>213</v>
      </c>
      <c r="D38" s="94" t="s">
        <v>213</v>
      </c>
      <c r="E38" s="94" t="s">
        <v>213</v>
      </c>
      <c r="F38" s="94" t="s">
        <v>213</v>
      </c>
      <c r="G38" s="77"/>
    </row>
    <row r="39">
      <c r="A39" s="91">
        <v>46327.0</v>
      </c>
      <c r="B39" s="92" t="s">
        <v>213</v>
      </c>
      <c r="C39" s="92" t="s">
        <v>213</v>
      </c>
      <c r="D39" s="92" t="s">
        <v>213</v>
      </c>
      <c r="E39" s="92" t="s">
        <v>213</v>
      </c>
      <c r="F39" s="92" t="s">
        <v>213</v>
      </c>
      <c r="G39" s="77"/>
    </row>
    <row r="40">
      <c r="A40" s="93" t="s">
        <v>280</v>
      </c>
      <c r="B40" s="94" t="s">
        <v>213</v>
      </c>
      <c r="C40" s="94" t="s">
        <v>213</v>
      </c>
      <c r="D40" s="94" t="s">
        <v>213</v>
      </c>
      <c r="E40" s="94" t="s">
        <v>213</v>
      </c>
      <c r="F40" s="94" t="s">
        <v>213</v>
      </c>
      <c r="G40" s="77"/>
    </row>
    <row r="41">
      <c r="A41" s="77"/>
      <c r="B41" s="77"/>
      <c r="C41" s="77"/>
      <c r="D41" s="77"/>
      <c r="E41" s="77"/>
      <c r="F41" s="77"/>
      <c r="G41" s="77"/>
    </row>
    <row r="42">
      <c r="A42" s="77"/>
      <c r="B42" s="77"/>
      <c r="C42" s="77"/>
      <c r="D42" s="77"/>
      <c r="E42" s="77"/>
      <c r="F42" s="77"/>
      <c r="G42" s="77"/>
    </row>
    <row r="43">
      <c r="A43" s="75" t="s">
        <v>281</v>
      </c>
    </row>
    <row r="44">
      <c r="A44" s="82" t="s">
        <v>256</v>
      </c>
      <c r="B44" s="82" t="s">
        <v>282</v>
      </c>
      <c r="C44" s="82" t="s">
        <v>283</v>
      </c>
      <c r="D44" s="82" t="s">
        <v>284</v>
      </c>
      <c r="E44" s="82" t="s">
        <v>285</v>
      </c>
      <c r="F44" s="82" t="s">
        <v>262</v>
      </c>
      <c r="G44" s="90"/>
    </row>
    <row r="45">
      <c r="A45" s="97"/>
      <c r="B45" s="97"/>
      <c r="C45" s="97"/>
      <c r="D45" s="98"/>
      <c r="E45" s="97"/>
      <c r="F45" s="97"/>
      <c r="G45" s="97"/>
    </row>
    <row r="46">
      <c r="A46" s="77"/>
      <c r="B46" s="77"/>
      <c r="C46" s="77"/>
      <c r="D46" s="99"/>
      <c r="E46" s="77"/>
      <c r="F46" s="77"/>
      <c r="G46" s="77"/>
    </row>
    <row r="47">
      <c r="A47" s="97"/>
      <c r="B47" s="97"/>
      <c r="C47" s="97"/>
      <c r="D47" s="98"/>
      <c r="E47" s="97"/>
      <c r="F47" s="97"/>
      <c r="G47" s="97"/>
    </row>
    <row r="48">
      <c r="A48" s="77"/>
      <c r="B48" s="77"/>
      <c r="C48" s="77"/>
      <c r="D48" s="99"/>
      <c r="E48" s="77"/>
      <c r="F48" s="77"/>
      <c r="G48" s="77"/>
    </row>
    <row r="49">
      <c r="A49" s="97"/>
      <c r="B49" s="97"/>
      <c r="C49" s="97"/>
      <c r="D49" s="98"/>
      <c r="E49" s="97"/>
      <c r="F49" s="97"/>
      <c r="G49" s="97"/>
    </row>
    <row r="50">
      <c r="A50" s="77"/>
      <c r="B50" s="77"/>
      <c r="C50" s="77"/>
      <c r="D50" s="99"/>
      <c r="E50" s="77"/>
      <c r="F50" s="77"/>
      <c r="G50" s="77"/>
    </row>
    <row r="51">
      <c r="A51" s="97"/>
      <c r="B51" s="97"/>
      <c r="C51" s="97"/>
      <c r="D51" s="98"/>
      <c r="E51" s="97"/>
      <c r="F51" s="97"/>
      <c r="G51" s="97"/>
    </row>
    <row r="52">
      <c r="A52" s="77"/>
      <c r="B52" s="77"/>
      <c r="C52" s="77"/>
      <c r="D52" s="99"/>
      <c r="E52" s="77"/>
      <c r="F52" s="77"/>
      <c r="G52" s="77"/>
    </row>
    <row r="53">
      <c r="A53" s="97"/>
      <c r="B53" s="97"/>
      <c r="C53" s="97"/>
      <c r="D53" s="98"/>
      <c r="E53" s="97"/>
      <c r="F53" s="97"/>
      <c r="G53" s="97"/>
    </row>
    <row r="54">
      <c r="A54" s="77"/>
      <c r="B54" s="77"/>
      <c r="C54" s="77"/>
      <c r="D54" s="99"/>
      <c r="E54" s="77"/>
      <c r="F54" s="77"/>
      <c r="G54" s="77"/>
    </row>
    <row r="55">
      <c r="A55" s="97"/>
      <c r="B55" s="97"/>
      <c r="C55" s="97"/>
      <c r="D55" s="98"/>
      <c r="E55" s="97"/>
      <c r="F55" s="97"/>
      <c r="G55" s="97"/>
    </row>
    <row r="56">
      <c r="A56" s="77"/>
      <c r="B56" s="77"/>
      <c r="C56" s="77"/>
      <c r="D56" s="99"/>
      <c r="E56" s="77"/>
      <c r="F56" s="77"/>
      <c r="G56" s="77"/>
    </row>
    <row r="57">
      <c r="A57" s="97"/>
      <c r="B57" s="97"/>
      <c r="C57" s="97"/>
      <c r="D57" s="98"/>
      <c r="E57" s="97"/>
      <c r="F57" s="97"/>
      <c r="G57" s="97"/>
    </row>
    <row r="58">
      <c r="A58" s="77"/>
      <c r="B58" s="77"/>
      <c r="C58" s="77"/>
      <c r="D58" s="99"/>
      <c r="E58" s="77"/>
      <c r="F58" s="77"/>
      <c r="G58" s="77"/>
    </row>
    <row r="59">
      <c r="A59" s="97"/>
      <c r="B59" s="97"/>
      <c r="C59" s="97"/>
      <c r="D59" s="98"/>
      <c r="E59" s="97"/>
      <c r="F59" s="97"/>
      <c r="G59" s="97"/>
    </row>
    <row r="60">
      <c r="A60" s="77"/>
      <c r="B60" s="77"/>
      <c r="C60" s="77"/>
      <c r="D60" s="99"/>
      <c r="E60" s="77"/>
      <c r="F60" s="77"/>
      <c r="G60" s="77"/>
    </row>
    <row r="61">
      <c r="A61" s="97"/>
      <c r="B61" s="97"/>
      <c r="C61" s="97"/>
      <c r="D61" s="98"/>
      <c r="E61" s="97"/>
      <c r="F61" s="97"/>
      <c r="G61" s="97"/>
    </row>
    <row r="62">
      <c r="A62" s="77"/>
      <c r="B62" s="77"/>
      <c r="C62" s="77"/>
      <c r="D62" s="99"/>
      <c r="E62" s="77"/>
      <c r="F62" s="77"/>
      <c r="G62" s="77"/>
    </row>
    <row r="63">
      <c r="A63" s="97"/>
      <c r="B63" s="97"/>
      <c r="C63" s="97"/>
      <c r="D63" s="98"/>
      <c r="E63" s="97"/>
      <c r="F63" s="97"/>
      <c r="G63" s="97"/>
    </row>
    <row r="64">
      <c r="A64" s="77"/>
      <c r="B64" s="77"/>
      <c r="C64" s="77"/>
      <c r="D64" s="77"/>
      <c r="E64" s="77"/>
      <c r="F64" s="77"/>
      <c r="G64" s="77"/>
    </row>
    <row r="65">
      <c r="A65" s="52"/>
      <c r="B65" s="52"/>
      <c r="C65" s="52"/>
      <c r="D65" s="52"/>
      <c r="E65" s="52"/>
      <c r="F65" s="52"/>
      <c r="G65" s="52"/>
    </row>
    <row r="66">
      <c r="A66" s="52"/>
      <c r="B66" s="52"/>
      <c r="C66" s="52"/>
      <c r="D66" s="52"/>
      <c r="E66" s="52"/>
      <c r="F66" s="52"/>
      <c r="G66" s="52"/>
    </row>
    <row r="67">
      <c r="A67" s="52"/>
      <c r="B67" s="52"/>
      <c r="C67" s="52"/>
      <c r="D67" s="52"/>
      <c r="E67" s="52"/>
      <c r="F67" s="52"/>
      <c r="G67" s="52"/>
    </row>
    <row r="68">
      <c r="A68" s="52"/>
      <c r="B68" s="52"/>
      <c r="C68" s="52"/>
      <c r="D68" s="52"/>
      <c r="E68" s="52"/>
      <c r="F68" s="52"/>
      <c r="G68" s="52"/>
    </row>
    <row r="69">
      <c r="A69" s="52"/>
      <c r="B69" s="52"/>
      <c r="C69" s="52"/>
      <c r="D69" s="52"/>
      <c r="E69" s="52"/>
      <c r="F69" s="52"/>
      <c r="G69" s="52"/>
    </row>
    <row r="70">
      <c r="A70" s="52"/>
      <c r="B70" s="52"/>
      <c r="C70" s="52"/>
      <c r="D70" s="52"/>
      <c r="E70" s="52"/>
      <c r="F70" s="52"/>
      <c r="G70" s="52"/>
    </row>
    <row r="71">
      <c r="A71" s="52"/>
      <c r="B71" s="52"/>
      <c r="C71" s="52"/>
      <c r="D71" s="52"/>
      <c r="E71" s="52"/>
      <c r="F71" s="52"/>
      <c r="G71" s="52"/>
    </row>
    <row r="72">
      <c r="A72" s="52"/>
      <c r="B72" s="52"/>
      <c r="C72" s="52"/>
      <c r="D72" s="52"/>
      <c r="E72" s="52"/>
      <c r="F72" s="52"/>
      <c r="G72" s="52"/>
    </row>
    <row r="73">
      <c r="A73" s="52"/>
      <c r="B73" s="52"/>
      <c r="C73" s="52"/>
      <c r="D73" s="52"/>
      <c r="E73" s="52"/>
      <c r="F73" s="52"/>
      <c r="G73" s="52"/>
    </row>
    <row r="74">
      <c r="A74" s="52"/>
      <c r="B74" s="52"/>
      <c r="C74" s="52"/>
      <c r="D74" s="52"/>
      <c r="E74" s="52"/>
      <c r="F74" s="52"/>
      <c r="G74" s="52"/>
    </row>
    <row r="75">
      <c r="A75" s="52"/>
      <c r="B75" s="52"/>
      <c r="C75" s="52"/>
      <c r="D75" s="52"/>
      <c r="E75" s="52"/>
      <c r="F75" s="52"/>
      <c r="G75" s="52"/>
    </row>
    <row r="76">
      <c r="A76" s="52"/>
      <c r="B76" s="52"/>
      <c r="C76" s="52"/>
      <c r="D76" s="52"/>
      <c r="E76" s="52"/>
      <c r="F76" s="52"/>
      <c r="G76" s="52"/>
    </row>
    <row r="77">
      <c r="A77" s="52"/>
      <c r="B77" s="52"/>
      <c r="C77" s="52"/>
      <c r="D77" s="52"/>
      <c r="E77" s="52"/>
      <c r="F77" s="52"/>
      <c r="G77" s="52"/>
    </row>
    <row r="78">
      <c r="A78" s="52"/>
      <c r="B78" s="52"/>
      <c r="C78" s="52"/>
      <c r="D78" s="52"/>
      <c r="E78" s="52"/>
      <c r="F78" s="52"/>
      <c r="G78" s="52"/>
    </row>
    <row r="79">
      <c r="A79" s="52"/>
      <c r="B79" s="52"/>
      <c r="C79" s="52"/>
      <c r="D79" s="52"/>
      <c r="E79" s="52"/>
      <c r="F79" s="52"/>
      <c r="G79" s="52"/>
    </row>
    <row r="80">
      <c r="A80" s="52"/>
      <c r="B80" s="52"/>
      <c r="C80" s="52"/>
      <c r="D80" s="52"/>
      <c r="E80" s="52"/>
      <c r="F80" s="52"/>
      <c r="G80" s="52"/>
    </row>
    <row r="81">
      <c r="A81" s="52"/>
      <c r="B81" s="52"/>
      <c r="C81" s="52"/>
      <c r="D81" s="52"/>
      <c r="E81" s="52"/>
      <c r="F81" s="52"/>
      <c r="G81" s="52"/>
    </row>
    <row r="82">
      <c r="A82" s="52"/>
      <c r="B82" s="52"/>
      <c r="C82" s="52"/>
      <c r="D82" s="52"/>
      <c r="E82" s="52"/>
      <c r="F82" s="52"/>
      <c r="G82" s="52"/>
    </row>
    <row r="83">
      <c r="A83" s="52"/>
      <c r="B83" s="52"/>
      <c r="C83" s="52"/>
      <c r="D83" s="52"/>
      <c r="E83" s="52"/>
      <c r="F83" s="52"/>
      <c r="G83" s="52"/>
    </row>
    <row r="84">
      <c r="A84" s="52"/>
      <c r="B84" s="52"/>
      <c r="C84" s="52"/>
      <c r="D84" s="52"/>
      <c r="E84" s="52"/>
      <c r="F84" s="52"/>
      <c r="G84" s="52"/>
    </row>
    <row r="85">
      <c r="A85" s="52"/>
      <c r="B85" s="52"/>
      <c r="C85" s="52"/>
      <c r="D85" s="52"/>
      <c r="E85" s="52"/>
      <c r="F85" s="52"/>
      <c r="G85" s="52"/>
    </row>
    <row r="86">
      <c r="A86" s="52"/>
      <c r="B86" s="52"/>
      <c r="C86" s="52"/>
      <c r="D86" s="52"/>
      <c r="E86" s="52"/>
      <c r="F86" s="52"/>
      <c r="G86" s="52"/>
    </row>
    <row r="87">
      <c r="A87" s="52"/>
      <c r="B87" s="52"/>
      <c r="C87" s="52"/>
      <c r="D87" s="52"/>
      <c r="E87" s="52"/>
      <c r="F87" s="52"/>
      <c r="G87" s="52"/>
    </row>
    <row r="88">
      <c r="A88" s="52"/>
      <c r="B88" s="52"/>
      <c r="C88" s="52"/>
      <c r="D88" s="52"/>
      <c r="E88" s="52"/>
      <c r="F88" s="52"/>
      <c r="G88" s="52"/>
    </row>
    <row r="89">
      <c r="A89" s="52"/>
      <c r="B89" s="52"/>
      <c r="C89" s="52"/>
      <c r="D89" s="52"/>
      <c r="E89" s="52"/>
      <c r="F89" s="52"/>
      <c r="G89" s="52"/>
    </row>
    <row r="90">
      <c r="A90" s="52"/>
      <c r="B90" s="52"/>
      <c r="C90" s="52"/>
      <c r="D90" s="52"/>
      <c r="E90" s="52"/>
      <c r="F90" s="52"/>
      <c r="G90" s="52"/>
    </row>
    <row r="91">
      <c r="A91" s="52"/>
      <c r="B91" s="52"/>
      <c r="C91" s="52"/>
      <c r="D91" s="52"/>
      <c r="E91" s="52"/>
      <c r="F91" s="52"/>
      <c r="G91" s="52"/>
    </row>
    <row r="92">
      <c r="A92" s="52"/>
      <c r="B92" s="52"/>
      <c r="C92" s="52"/>
      <c r="D92" s="52"/>
      <c r="E92" s="52"/>
      <c r="F92" s="52"/>
      <c r="G92" s="52"/>
    </row>
    <row r="93">
      <c r="A93" s="52"/>
      <c r="B93" s="52"/>
      <c r="C93" s="52"/>
      <c r="D93" s="52"/>
      <c r="E93" s="52"/>
      <c r="F93" s="52"/>
      <c r="G93" s="52"/>
    </row>
    <row r="94">
      <c r="A94" s="52"/>
      <c r="B94" s="52"/>
      <c r="C94" s="52"/>
      <c r="D94" s="52"/>
      <c r="E94" s="52"/>
      <c r="F94" s="52"/>
      <c r="G94" s="52"/>
    </row>
    <row r="95">
      <c r="A95" s="52"/>
      <c r="B95" s="52"/>
      <c r="C95" s="52"/>
      <c r="D95" s="52"/>
      <c r="E95" s="52"/>
      <c r="F95" s="52"/>
      <c r="G95" s="52"/>
    </row>
    <row r="96">
      <c r="A96" s="52"/>
      <c r="B96" s="52"/>
      <c r="C96" s="52"/>
      <c r="D96" s="52"/>
      <c r="E96" s="52"/>
      <c r="F96" s="52"/>
      <c r="G96" s="52"/>
    </row>
    <row r="97">
      <c r="A97" s="52"/>
      <c r="B97" s="52"/>
      <c r="C97" s="52"/>
      <c r="D97" s="52"/>
      <c r="E97" s="52"/>
      <c r="F97" s="52"/>
      <c r="G97" s="52"/>
    </row>
    <row r="98">
      <c r="A98" s="52"/>
      <c r="B98" s="52"/>
      <c r="C98" s="52"/>
      <c r="D98" s="52"/>
      <c r="E98" s="52"/>
      <c r="F98" s="52"/>
      <c r="G98" s="52"/>
    </row>
    <row r="99">
      <c r="A99" s="52"/>
      <c r="B99" s="52"/>
      <c r="C99" s="52"/>
      <c r="D99" s="52"/>
      <c r="E99" s="52"/>
      <c r="F99" s="52"/>
      <c r="G99" s="52"/>
    </row>
    <row r="100">
      <c r="A100" s="52"/>
      <c r="B100" s="52"/>
      <c r="C100" s="52"/>
      <c r="D100" s="52"/>
      <c r="E100" s="52"/>
      <c r="F100" s="52"/>
      <c r="G100" s="52"/>
    </row>
    <row r="101">
      <c r="A101" s="52"/>
      <c r="B101" s="52"/>
      <c r="C101" s="52"/>
      <c r="D101" s="52"/>
      <c r="E101" s="52"/>
      <c r="F101" s="52"/>
      <c r="G101" s="52"/>
    </row>
    <row r="102">
      <c r="A102" s="52"/>
      <c r="B102" s="52"/>
      <c r="C102" s="52"/>
      <c r="D102" s="52"/>
      <c r="E102" s="52"/>
      <c r="F102" s="52"/>
      <c r="G102" s="52"/>
    </row>
    <row r="103">
      <c r="A103" s="52"/>
      <c r="B103" s="52"/>
      <c r="C103" s="52"/>
      <c r="D103" s="52"/>
      <c r="E103" s="52"/>
      <c r="F103" s="52"/>
      <c r="G103" s="52"/>
    </row>
    <row r="104">
      <c r="A104" s="52"/>
      <c r="B104" s="52"/>
      <c r="C104" s="52"/>
      <c r="D104" s="52"/>
      <c r="E104" s="52"/>
      <c r="F104" s="52"/>
      <c r="G104" s="52"/>
    </row>
    <row r="105">
      <c r="A105" s="52"/>
      <c r="B105" s="52"/>
      <c r="C105" s="52"/>
      <c r="D105" s="52"/>
      <c r="E105" s="52"/>
      <c r="F105" s="52"/>
      <c r="G105" s="52"/>
    </row>
    <row r="106">
      <c r="A106" s="52"/>
      <c r="B106" s="52"/>
      <c r="C106" s="52"/>
      <c r="D106" s="52"/>
      <c r="E106" s="52"/>
      <c r="F106" s="52"/>
      <c r="G106" s="52"/>
    </row>
    <row r="107">
      <c r="A107" s="52"/>
      <c r="B107" s="52"/>
      <c r="C107" s="52"/>
      <c r="D107" s="52"/>
      <c r="E107" s="52"/>
      <c r="F107" s="52"/>
      <c r="G107" s="52"/>
    </row>
    <row r="108">
      <c r="A108" s="52"/>
      <c r="B108" s="52"/>
      <c r="C108" s="52"/>
      <c r="D108" s="52"/>
      <c r="E108" s="52"/>
      <c r="F108" s="52"/>
      <c r="G108" s="52"/>
    </row>
    <row r="109">
      <c r="A109" s="52"/>
      <c r="B109" s="52"/>
      <c r="C109" s="52"/>
      <c r="D109" s="52"/>
      <c r="E109" s="52"/>
      <c r="F109" s="52"/>
      <c r="G109" s="52"/>
    </row>
    <row r="110">
      <c r="A110" s="52"/>
      <c r="B110" s="52"/>
      <c r="C110" s="52"/>
      <c r="D110" s="52"/>
      <c r="E110" s="52"/>
      <c r="F110" s="52"/>
      <c r="G110" s="52"/>
    </row>
    <row r="111">
      <c r="A111" s="52"/>
      <c r="B111" s="52"/>
      <c r="C111" s="52"/>
      <c r="D111" s="52"/>
      <c r="E111" s="52"/>
      <c r="F111" s="52"/>
      <c r="G111" s="52"/>
    </row>
    <row r="112">
      <c r="A112" s="52"/>
      <c r="B112" s="52"/>
      <c r="C112" s="52"/>
      <c r="D112" s="52"/>
      <c r="E112" s="52"/>
      <c r="F112" s="52"/>
      <c r="G112" s="52"/>
    </row>
    <row r="113">
      <c r="A113" s="52"/>
      <c r="B113" s="52"/>
      <c r="C113" s="52"/>
      <c r="D113" s="52"/>
      <c r="E113" s="52"/>
      <c r="F113" s="52"/>
      <c r="G113" s="52"/>
    </row>
    <row r="114">
      <c r="A114" s="52"/>
      <c r="B114" s="52"/>
      <c r="C114" s="52"/>
      <c r="D114" s="52"/>
      <c r="E114" s="52"/>
      <c r="F114" s="52"/>
      <c r="G114" s="52"/>
    </row>
    <row r="115">
      <c r="A115" s="52"/>
      <c r="B115" s="52"/>
      <c r="C115" s="52"/>
      <c r="D115" s="52"/>
      <c r="E115" s="52"/>
      <c r="F115" s="52"/>
      <c r="G115" s="52"/>
    </row>
    <row r="116">
      <c r="A116" s="52"/>
      <c r="B116" s="52"/>
      <c r="C116" s="52"/>
      <c r="D116" s="52"/>
      <c r="E116" s="52"/>
      <c r="F116" s="52"/>
      <c r="G116" s="52"/>
    </row>
    <row r="117">
      <c r="A117" s="52"/>
      <c r="B117" s="52"/>
      <c r="C117" s="52"/>
      <c r="D117" s="52"/>
      <c r="E117" s="52"/>
      <c r="F117" s="52"/>
      <c r="G117" s="52"/>
    </row>
    <row r="118">
      <c r="A118" s="52"/>
      <c r="B118" s="52"/>
      <c r="C118" s="52"/>
      <c r="D118" s="52"/>
      <c r="E118" s="52"/>
      <c r="F118" s="52"/>
      <c r="G118" s="52"/>
    </row>
    <row r="119">
      <c r="A119" s="52"/>
      <c r="B119" s="52"/>
      <c r="C119" s="52"/>
      <c r="D119" s="52"/>
      <c r="E119" s="52"/>
      <c r="F119" s="52"/>
      <c r="G119" s="52"/>
    </row>
    <row r="120">
      <c r="A120" s="52"/>
      <c r="B120" s="52"/>
      <c r="C120" s="52"/>
      <c r="D120" s="52"/>
      <c r="E120" s="52"/>
      <c r="F120" s="52"/>
      <c r="G120" s="52"/>
    </row>
    <row r="121">
      <c r="A121" s="52"/>
      <c r="B121" s="52"/>
      <c r="C121" s="52"/>
      <c r="D121" s="52"/>
      <c r="E121" s="52"/>
      <c r="F121" s="52"/>
      <c r="G121" s="52"/>
    </row>
    <row r="122">
      <c r="A122" s="52"/>
      <c r="B122" s="52"/>
      <c r="C122" s="52"/>
      <c r="D122" s="52"/>
      <c r="E122" s="52"/>
      <c r="F122" s="52"/>
      <c r="G122" s="52"/>
    </row>
    <row r="123">
      <c r="A123" s="52"/>
      <c r="B123" s="52"/>
      <c r="C123" s="52"/>
      <c r="D123" s="52"/>
      <c r="E123" s="52"/>
      <c r="F123" s="52"/>
      <c r="G123" s="52"/>
    </row>
    <row r="124">
      <c r="A124" s="52"/>
      <c r="B124" s="52"/>
      <c r="C124" s="52"/>
      <c r="D124" s="52"/>
      <c r="E124" s="52"/>
      <c r="F124" s="52"/>
      <c r="G124" s="52"/>
    </row>
    <row r="125">
      <c r="A125" s="52"/>
      <c r="B125" s="52"/>
      <c r="C125" s="52"/>
      <c r="D125" s="52"/>
      <c r="E125" s="52"/>
      <c r="F125" s="52"/>
      <c r="G125" s="52"/>
    </row>
    <row r="126">
      <c r="A126" s="52"/>
      <c r="B126" s="52"/>
      <c r="C126" s="52"/>
      <c r="D126" s="52"/>
      <c r="E126" s="52"/>
      <c r="F126" s="52"/>
      <c r="G126" s="52"/>
    </row>
    <row r="127">
      <c r="A127" s="52"/>
      <c r="B127" s="52"/>
      <c r="C127" s="52"/>
      <c r="D127" s="52"/>
      <c r="E127" s="52"/>
      <c r="F127" s="52"/>
      <c r="G127" s="52"/>
    </row>
    <row r="128">
      <c r="A128" s="52"/>
      <c r="B128" s="52"/>
      <c r="C128" s="52"/>
      <c r="D128" s="52"/>
      <c r="E128" s="52"/>
      <c r="F128" s="52"/>
      <c r="G128" s="52"/>
    </row>
    <row r="129">
      <c r="A129" s="52"/>
      <c r="B129" s="52"/>
      <c r="C129" s="52"/>
      <c r="D129" s="52"/>
      <c r="E129" s="52"/>
      <c r="F129" s="52"/>
      <c r="G129" s="52"/>
    </row>
    <row r="130">
      <c r="A130" s="52"/>
      <c r="B130" s="52"/>
      <c r="C130" s="52"/>
      <c r="D130" s="52"/>
      <c r="E130" s="52"/>
      <c r="F130" s="52"/>
      <c r="G130" s="52"/>
    </row>
    <row r="131">
      <c r="A131" s="52"/>
      <c r="B131" s="52"/>
      <c r="C131" s="52"/>
      <c r="D131" s="52"/>
      <c r="E131" s="52"/>
      <c r="F131" s="52"/>
      <c r="G131" s="52"/>
    </row>
    <row r="132">
      <c r="A132" s="52"/>
      <c r="B132" s="52"/>
      <c r="C132" s="52"/>
      <c r="D132" s="52"/>
      <c r="E132" s="52"/>
      <c r="F132" s="52"/>
      <c r="G132" s="52"/>
    </row>
    <row r="133">
      <c r="A133" s="52"/>
      <c r="B133" s="52"/>
      <c r="C133" s="52"/>
      <c r="D133" s="52"/>
      <c r="E133" s="52"/>
      <c r="F133" s="52"/>
      <c r="G133" s="52"/>
    </row>
    <row r="134">
      <c r="A134" s="52"/>
      <c r="B134" s="52"/>
      <c r="C134" s="52"/>
      <c r="D134" s="52"/>
      <c r="E134" s="52"/>
      <c r="F134" s="52"/>
      <c r="G134" s="52"/>
    </row>
    <row r="135">
      <c r="A135" s="52"/>
      <c r="B135" s="52"/>
      <c r="C135" s="52"/>
      <c r="D135" s="52"/>
      <c r="E135" s="52"/>
      <c r="F135" s="52"/>
      <c r="G135" s="52"/>
    </row>
    <row r="136">
      <c r="A136" s="52"/>
      <c r="B136" s="52"/>
      <c r="C136" s="52"/>
      <c r="D136" s="52"/>
      <c r="E136" s="52"/>
      <c r="F136" s="52"/>
      <c r="G136" s="52"/>
    </row>
    <row r="137">
      <c r="A137" s="52"/>
      <c r="B137" s="52"/>
      <c r="C137" s="52"/>
      <c r="D137" s="52"/>
      <c r="E137" s="52"/>
      <c r="F137" s="52"/>
      <c r="G137" s="52"/>
    </row>
    <row r="138">
      <c r="A138" s="52"/>
      <c r="B138" s="52"/>
      <c r="C138" s="52"/>
      <c r="D138" s="52"/>
      <c r="E138" s="52"/>
      <c r="F138" s="52"/>
      <c r="G138" s="52"/>
    </row>
    <row r="139">
      <c r="A139" s="52"/>
      <c r="B139" s="52"/>
      <c r="C139" s="52"/>
      <c r="D139" s="52"/>
      <c r="E139" s="52"/>
      <c r="F139" s="52"/>
      <c r="G139" s="52"/>
    </row>
    <row r="140">
      <c r="A140" s="52"/>
      <c r="B140" s="52"/>
      <c r="C140" s="52"/>
      <c r="D140" s="52"/>
      <c r="E140" s="52"/>
      <c r="F140" s="52"/>
      <c r="G140" s="52"/>
    </row>
    <row r="141">
      <c r="A141" s="52"/>
      <c r="B141" s="52"/>
      <c r="C141" s="52"/>
      <c r="D141" s="52"/>
      <c r="E141" s="52"/>
      <c r="F141" s="52"/>
      <c r="G141" s="52"/>
    </row>
    <row r="142">
      <c r="A142" s="52"/>
      <c r="B142" s="52"/>
      <c r="C142" s="52"/>
      <c r="D142" s="52"/>
      <c r="E142" s="52"/>
      <c r="F142" s="52"/>
      <c r="G142" s="52"/>
    </row>
    <row r="143">
      <c r="A143" s="52"/>
      <c r="B143" s="52"/>
      <c r="C143" s="52"/>
      <c r="D143" s="52"/>
      <c r="E143" s="52"/>
      <c r="F143" s="52"/>
      <c r="G143" s="52"/>
    </row>
    <row r="144">
      <c r="A144" s="52"/>
      <c r="B144" s="52"/>
      <c r="C144" s="52"/>
      <c r="D144" s="52"/>
      <c r="E144" s="52"/>
      <c r="F144" s="52"/>
      <c r="G144" s="52"/>
    </row>
    <row r="145">
      <c r="A145" s="52"/>
      <c r="B145" s="52"/>
      <c r="C145" s="52"/>
      <c r="D145" s="52"/>
      <c r="E145" s="52"/>
      <c r="F145" s="52"/>
      <c r="G145" s="52"/>
    </row>
    <row r="146">
      <c r="A146" s="52"/>
      <c r="B146" s="52"/>
      <c r="C146" s="52"/>
      <c r="D146" s="52"/>
      <c r="E146" s="52"/>
      <c r="F146" s="52"/>
      <c r="G146" s="52"/>
    </row>
    <row r="147">
      <c r="A147" s="52"/>
      <c r="B147" s="52"/>
      <c r="C147" s="52"/>
      <c r="D147" s="52"/>
      <c r="E147" s="52"/>
      <c r="F147" s="52"/>
      <c r="G147" s="52"/>
    </row>
    <row r="148">
      <c r="A148" s="52"/>
      <c r="B148" s="52"/>
      <c r="C148" s="52"/>
      <c r="D148" s="52"/>
      <c r="E148" s="52"/>
      <c r="F148" s="52"/>
      <c r="G148" s="52"/>
    </row>
    <row r="149">
      <c r="A149" s="52"/>
      <c r="B149" s="52"/>
      <c r="C149" s="52"/>
      <c r="D149" s="52"/>
      <c r="E149" s="52"/>
      <c r="F149" s="52"/>
      <c r="G149" s="52"/>
    </row>
    <row r="150">
      <c r="A150" s="52"/>
      <c r="B150" s="52"/>
      <c r="C150" s="52"/>
      <c r="D150" s="52"/>
      <c r="E150" s="52"/>
      <c r="F150" s="52"/>
      <c r="G150" s="52"/>
    </row>
    <row r="151">
      <c r="A151" s="52"/>
      <c r="B151" s="52"/>
      <c r="C151" s="52"/>
      <c r="D151" s="52"/>
      <c r="E151" s="52"/>
      <c r="F151" s="52"/>
      <c r="G151" s="52"/>
    </row>
    <row r="152">
      <c r="A152" s="52"/>
      <c r="B152" s="52"/>
      <c r="C152" s="52"/>
      <c r="D152" s="52"/>
      <c r="E152" s="52"/>
      <c r="F152" s="52"/>
      <c r="G152" s="52"/>
    </row>
    <row r="153">
      <c r="A153" s="52"/>
      <c r="B153" s="52"/>
      <c r="C153" s="52"/>
      <c r="D153" s="52"/>
      <c r="E153" s="52"/>
      <c r="F153" s="52"/>
      <c r="G153" s="52"/>
    </row>
    <row r="154">
      <c r="A154" s="52"/>
      <c r="B154" s="52"/>
      <c r="C154" s="52"/>
      <c r="D154" s="52"/>
      <c r="E154" s="52"/>
      <c r="F154" s="52"/>
      <c r="G154" s="52"/>
    </row>
    <row r="155">
      <c r="A155" s="52"/>
      <c r="B155" s="52"/>
      <c r="C155" s="52"/>
      <c r="D155" s="52"/>
      <c r="E155" s="52"/>
      <c r="F155" s="52"/>
      <c r="G155" s="52"/>
    </row>
    <row r="156">
      <c r="A156" s="52"/>
      <c r="B156" s="52"/>
      <c r="C156" s="52"/>
      <c r="D156" s="52"/>
      <c r="E156" s="52"/>
      <c r="F156" s="52"/>
      <c r="G156" s="52"/>
    </row>
    <row r="157">
      <c r="A157" s="52"/>
      <c r="B157" s="52"/>
      <c r="C157" s="52"/>
      <c r="D157" s="52"/>
      <c r="E157" s="52"/>
      <c r="F157" s="52"/>
      <c r="G157" s="52"/>
    </row>
    <row r="158">
      <c r="A158" s="52"/>
      <c r="B158" s="52"/>
      <c r="C158" s="52"/>
      <c r="D158" s="52"/>
      <c r="E158" s="52"/>
      <c r="F158" s="52"/>
      <c r="G158" s="52"/>
    </row>
    <row r="159">
      <c r="A159" s="52"/>
      <c r="B159" s="52"/>
      <c r="C159" s="52"/>
      <c r="D159" s="52"/>
      <c r="E159" s="52"/>
      <c r="F159" s="52"/>
      <c r="G159" s="52"/>
    </row>
    <row r="160">
      <c r="A160" s="52"/>
      <c r="B160" s="52"/>
      <c r="C160" s="52"/>
      <c r="D160" s="52"/>
      <c r="E160" s="52"/>
      <c r="F160" s="52"/>
      <c r="G160" s="52"/>
    </row>
    <row r="161">
      <c r="A161" s="52"/>
      <c r="B161" s="52"/>
      <c r="C161" s="52"/>
      <c r="D161" s="52"/>
      <c r="E161" s="52"/>
      <c r="F161" s="52"/>
      <c r="G161" s="52"/>
    </row>
    <row r="162">
      <c r="A162" s="52"/>
      <c r="B162" s="52"/>
      <c r="C162" s="52"/>
      <c r="D162" s="52"/>
      <c r="E162" s="52"/>
      <c r="F162" s="52"/>
      <c r="G162" s="52"/>
    </row>
    <row r="163">
      <c r="A163" s="52"/>
      <c r="B163" s="52"/>
      <c r="C163" s="52"/>
      <c r="D163" s="52"/>
      <c r="E163" s="52"/>
      <c r="F163" s="52"/>
      <c r="G163" s="52"/>
    </row>
    <row r="164">
      <c r="A164" s="52"/>
      <c r="B164" s="52"/>
      <c r="C164" s="52"/>
      <c r="D164" s="52"/>
      <c r="E164" s="52"/>
      <c r="F164" s="52"/>
      <c r="G164" s="52"/>
    </row>
    <row r="165">
      <c r="A165" s="52"/>
      <c r="B165" s="52"/>
      <c r="C165" s="52"/>
      <c r="D165" s="52"/>
      <c r="E165" s="52"/>
      <c r="F165" s="52"/>
      <c r="G165" s="52"/>
    </row>
    <row r="166">
      <c r="A166" s="52"/>
      <c r="B166" s="52"/>
      <c r="C166" s="52"/>
      <c r="D166" s="52"/>
      <c r="E166" s="52"/>
      <c r="F166" s="52"/>
      <c r="G166" s="52"/>
    </row>
    <row r="167">
      <c r="A167" s="52"/>
      <c r="B167" s="52"/>
      <c r="C167" s="52"/>
      <c r="D167" s="52"/>
      <c r="E167" s="52"/>
      <c r="F167" s="52"/>
      <c r="G167" s="52"/>
    </row>
    <row r="168">
      <c r="A168" s="52"/>
      <c r="B168" s="52"/>
      <c r="C168" s="52"/>
      <c r="D168" s="52"/>
      <c r="E168" s="52"/>
      <c r="F168" s="52"/>
      <c r="G168" s="52"/>
    </row>
    <row r="169">
      <c r="A169" s="52"/>
      <c r="B169" s="52"/>
      <c r="C169" s="52"/>
      <c r="D169" s="52"/>
      <c r="E169" s="52"/>
      <c r="F169" s="52"/>
      <c r="G169" s="52"/>
    </row>
    <row r="170">
      <c r="A170" s="52"/>
      <c r="B170" s="52"/>
      <c r="C170" s="52"/>
      <c r="D170" s="52"/>
      <c r="E170" s="52"/>
      <c r="F170" s="52"/>
      <c r="G170" s="52"/>
    </row>
    <row r="171">
      <c r="A171" s="52"/>
      <c r="B171" s="52"/>
      <c r="C171" s="52"/>
      <c r="D171" s="52"/>
      <c r="E171" s="52"/>
      <c r="F171" s="52"/>
      <c r="G171" s="52"/>
    </row>
    <row r="172">
      <c r="A172" s="52"/>
      <c r="B172" s="52"/>
      <c r="C172" s="52"/>
      <c r="D172" s="52"/>
      <c r="E172" s="52"/>
      <c r="F172" s="52"/>
      <c r="G172" s="52"/>
    </row>
    <row r="173">
      <c r="A173" s="52"/>
      <c r="B173" s="52"/>
      <c r="C173" s="52"/>
      <c r="D173" s="52"/>
      <c r="E173" s="52"/>
      <c r="F173" s="52"/>
      <c r="G173" s="52"/>
    </row>
    <row r="174">
      <c r="A174" s="52"/>
      <c r="B174" s="52"/>
      <c r="C174" s="52"/>
      <c r="D174" s="52"/>
      <c r="E174" s="52"/>
      <c r="F174" s="52"/>
      <c r="G174" s="52"/>
    </row>
    <row r="175">
      <c r="A175" s="52"/>
      <c r="B175" s="52"/>
      <c r="C175" s="52"/>
      <c r="D175" s="52"/>
      <c r="E175" s="52"/>
      <c r="F175" s="52"/>
      <c r="G175" s="52"/>
    </row>
    <row r="176">
      <c r="A176" s="52"/>
      <c r="B176" s="52"/>
      <c r="C176" s="52"/>
      <c r="D176" s="52"/>
      <c r="E176" s="52"/>
      <c r="F176" s="52"/>
      <c r="G176" s="52"/>
    </row>
    <row r="177">
      <c r="A177" s="52"/>
      <c r="B177" s="52"/>
      <c r="C177" s="52"/>
      <c r="D177" s="52"/>
      <c r="E177" s="52"/>
      <c r="F177" s="52"/>
      <c r="G177" s="52"/>
    </row>
    <row r="178">
      <c r="A178" s="52"/>
      <c r="B178" s="52"/>
      <c r="C178" s="52"/>
      <c r="D178" s="52"/>
      <c r="E178" s="52"/>
      <c r="F178" s="52"/>
      <c r="G178" s="52"/>
    </row>
    <row r="179">
      <c r="A179" s="52"/>
      <c r="B179" s="52"/>
      <c r="C179" s="52"/>
      <c r="D179" s="52"/>
      <c r="E179" s="52"/>
      <c r="F179" s="52"/>
      <c r="G179" s="52"/>
    </row>
    <row r="180">
      <c r="A180" s="52"/>
      <c r="B180" s="52"/>
      <c r="C180" s="52"/>
      <c r="D180" s="52"/>
      <c r="E180" s="52"/>
      <c r="F180" s="52"/>
      <c r="G180" s="52"/>
    </row>
    <row r="181">
      <c r="A181" s="52"/>
      <c r="B181" s="52"/>
      <c r="C181" s="52"/>
      <c r="D181" s="52"/>
      <c r="E181" s="52"/>
      <c r="F181" s="52"/>
      <c r="G181" s="52"/>
    </row>
    <row r="182">
      <c r="A182" s="52"/>
      <c r="B182" s="52"/>
      <c r="C182" s="52"/>
      <c r="D182" s="52"/>
      <c r="E182" s="52"/>
      <c r="F182" s="52"/>
      <c r="G182" s="52"/>
    </row>
    <row r="183">
      <c r="A183" s="52"/>
      <c r="B183" s="52"/>
      <c r="C183" s="52"/>
      <c r="D183" s="52"/>
      <c r="E183" s="52"/>
      <c r="F183" s="52"/>
      <c r="G183" s="52"/>
    </row>
    <row r="184">
      <c r="A184" s="52"/>
      <c r="B184" s="52"/>
      <c r="C184" s="52"/>
      <c r="D184" s="52"/>
      <c r="E184" s="52"/>
      <c r="F184" s="52"/>
      <c r="G184" s="52"/>
    </row>
    <row r="185">
      <c r="A185" s="52"/>
      <c r="B185" s="52"/>
      <c r="C185" s="52"/>
      <c r="D185" s="52"/>
      <c r="E185" s="52"/>
      <c r="F185" s="52"/>
      <c r="G185" s="52"/>
    </row>
    <row r="186">
      <c r="A186" s="52"/>
      <c r="B186" s="52"/>
      <c r="C186" s="52"/>
      <c r="D186" s="52"/>
      <c r="E186" s="52"/>
      <c r="F186" s="52"/>
      <c r="G186" s="52"/>
    </row>
    <row r="187">
      <c r="A187" s="52"/>
      <c r="B187" s="52"/>
      <c r="C187" s="52"/>
      <c r="D187" s="52"/>
      <c r="E187" s="52"/>
      <c r="F187" s="52"/>
      <c r="G187" s="52"/>
    </row>
    <row r="188">
      <c r="A188" s="52"/>
      <c r="B188" s="52"/>
      <c r="C188" s="52"/>
      <c r="D188" s="52"/>
      <c r="E188" s="52"/>
      <c r="F188" s="52"/>
      <c r="G188" s="52"/>
    </row>
    <row r="189">
      <c r="A189" s="52"/>
      <c r="B189" s="52"/>
      <c r="C189" s="52"/>
      <c r="D189" s="52"/>
      <c r="E189" s="52"/>
      <c r="F189" s="52"/>
      <c r="G189" s="52"/>
    </row>
    <row r="190">
      <c r="A190" s="52"/>
      <c r="B190" s="52"/>
      <c r="C190" s="52"/>
      <c r="D190" s="52"/>
      <c r="E190" s="52"/>
      <c r="F190" s="52"/>
      <c r="G190" s="52"/>
    </row>
    <row r="191">
      <c r="A191" s="52"/>
      <c r="B191" s="52"/>
      <c r="C191" s="52"/>
      <c r="D191" s="52"/>
      <c r="E191" s="52"/>
      <c r="F191" s="52"/>
      <c r="G191" s="52"/>
    </row>
    <row r="192">
      <c r="A192" s="52"/>
      <c r="B192" s="52"/>
      <c r="C192" s="52"/>
      <c r="D192" s="52"/>
      <c r="E192" s="52"/>
      <c r="F192" s="52"/>
      <c r="G192" s="52"/>
    </row>
    <row r="193">
      <c r="A193" s="52"/>
      <c r="B193" s="52"/>
      <c r="C193" s="52"/>
      <c r="D193" s="52"/>
      <c r="E193" s="52"/>
      <c r="F193" s="52"/>
      <c r="G193" s="52"/>
    </row>
    <row r="194">
      <c r="A194" s="52"/>
      <c r="B194" s="52"/>
      <c r="C194" s="52"/>
      <c r="D194" s="52"/>
      <c r="E194" s="52"/>
      <c r="F194" s="52"/>
      <c r="G194" s="52"/>
    </row>
    <row r="195">
      <c r="A195" s="52"/>
      <c r="B195" s="52"/>
      <c r="C195" s="52"/>
      <c r="D195" s="52"/>
      <c r="E195" s="52"/>
      <c r="F195" s="52"/>
      <c r="G195" s="52"/>
    </row>
    <row r="196">
      <c r="A196" s="52"/>
      <c r="B196" s="52"/>
      <c r="C196" s="52"/>
      <c r="D196" s="52"/>
      <c r="E196" s="52"/>
      <c r="F196" s="52"/>
      <c r="G196" s="52"/>
    </row>
    <row r="197">
      <c r="A197" s="52"/>
      <c r="B197" s="52"/>
      <c r="C197" s="52"/>
      <c r="D197" s="52"/>
      <c r="E197" s="52"/>
      <c r="F197" s="52"/>
      <c r="G197" s="52"/>
    </row>
    <row r="198">
      <c r="A198" s="52"/>
      <c r="B198" s="52"/>
      <c r="C198" s="52"/>
      <c r="D198" s="52"/>
      <c r="E198" s="52"/>
      <c r="F198" s="52"/>
      <c r="G198" s="52"/>
    </row>
    <row r="199">
      <c r="A199" s="52"/>
      <c r="B199" s="52"/>
      <c r="C199" s="52"/>
      <c r="D199" s="52"/>
      <c r="E199" s="52"/>
      <c r="F199" s="52"/>
      <c r="G199" s="52"/>
    </row>
    <row r="200">
      <c r="A200" s="52"/>
      <c r="B200" s="52"/>
      <c r="C200" s="52"/>
      <c r="D200" s="52"/>
      <c r="E200" s="52"/>
      <c r="F200" s="52"/>
      <c r="G200" s="52"/>
    </row>
    <row r="201">
      <c r="A201" s="52"/>
      <c r="B201" s="52"/>
      <c r="C201" s="52"/>
      <c r="D201" s="52"/>
      <c r="E201" s="52"/>
      <c r="F201" s="52"/>
      <c r="G201" s="52"/>
    </row>
    <row r="202">
      <c r="A202" s="52"/>
      <c r="B202" s="52"/>
      <c r="C202" s="52"/>
      <c r="D202" s="52"/>
      <c r="E202" s="52"/>
      <c r="F202" s="52"/>
      <c r="G202" s="52"/>
    </row>
    <row r="203">
      <c r="A203" s="52"/>
      <c r="B203" s="52"/>
      <c r="C203" s="52"/>
      <c r="D203" s="52"/>
      <c r="E203" s="52"/>
      <c r="F203" s="52"/>
      <c r="G203" s="52"/>
    </row>
    <row r="204">
      <c r="A204" s="52"/>
      <c r="B204" s="52"/>
      <c r="C204" s="52"/>
      <c r="D204" s="52"/>
      <c r="E204" s="52"/>
      <c r="F204" s="52"/>
      <c r="G204" s="52"/>
    </row>
    <row r="205">
      <c r="A205" s="52"/>
      <c r="B205" s="52"/>
      <c r="C205" s="52"/>
      <c r="D205" s="52"/>
      <c r="E205" s="52"/>
      <c r="F205" s="52"/>
      <c r="G205" s="52"/>
    </row>
    <row r="206">
      <c r="A206" s="52"/>
      <c r="B206" s="52"/>
      <c r="C206" s="52"/>
      <c r="D206" s="52"/>
      <c r="E206" s="52"/>
      <c r="F206" s="52"/>
      <c r="G206" s="52"/>
    </row>
    <row r="207">
      <c r="A207" s="52"/>
      <c r="B207" s="52"/>
      <c r="C207" s="52"/>
      <c r="D207" s="52"/>
      <c r="E207" s="52"/>
      <c r="F207" s="52"/>
      <c r="G207" s="52"/>
    </row>
    <row r="208">
      <c r="A208" s="52"/>
      <c r="B208" s="52"/>
      <c r="C208" s="52"/>
      <c r="D208" s="52"/>
      <c r="E208" s="52"/>
      <c r="F208" s="52"/>
      <c r="G208" s="52"/>
    </row>
    <row r="209">
      <c r="A209" s="52"/>
      <c r="B209" s="52"/>
      <c r="C209" s="52"/>
      <c r="D209" s="52"/>
      <c r="E209" s="52"/>
      <c r="F209" s="52"/>
      <c r="G209" s="52"/>
    </row>
    <row r="210">
      <c r="A210" s="52"/>
      <c r="B210" s="52"/>
      <c r="C210" s="52"/>
      <c r="D210" s="52"/>
      <c r="E210" s="52"/>
      <c r="F210" s="52"/>
      <c r="G210" s="52"/>
    </row>
    <row r="211">
      <c r="A211" s="52"/>
      <c r="B211" s="52"/>
      <c r="C211" s="52"/>
      <c r="D211" s="52"/>
      <c r="E211" s="52"/>
      <c r="F211" s="52"/>
      <c r="G211" s="52"/>
    </row>
    <row r="212">
      <c r="A212" s="52"/>
      <c r="B212" s="52"/>
      <c r="C212" s="52"/>
      <c r="D212" s="52"/>
      <c r="E212" s="52"/>
      <c r="F212" s="52"/>
      <c r="G212" s="52"/>
    </row>
    <row r="213">
      <c r="A213" s="52"/>
      <c r="B213" s="52"/>
      <c r="C213" s="52"/>
      <c r="D213" s="52"/>
      <c r="E213" s="52"/>
      <c r="F213" s="52"/>
      <c r="G213" s="52"/>
    </row>
    <row r="214">
      <c r="A214" s="52"/>
      <c r="B214" s="52"/>
      <c r="C214" s="52"/>
      <c r="D214" s="52"/>
      <c r="E214" s="52"/>
      <c r="F214" s="52"/>
      <c r="G214" s="52"/>
    </row>
    <row r="215">
      <c r="A215" s="52"/>
      <c r="B215" s="52"/>
      <c r="C215" s="52"/>
      <c r="D215" s="52"/>
      <c r="E215" s="52"/>
      <c r="F215" s="52"/>
      <c r="G215" s="52"/>
    </row>
    <row r="216">
      <c r="A216" s="52"/>
      <c r="B216" s="52"/>
      <c r="C216" s="52"/>
      <c r="D216" s="52"/>
      <c r="E216" s="52"/>
      <c r="F216" s="52"/>
      <c r="G216" s="52"/>
    </row>
    <row r="217">
      <c r="A217" s="52"/>
      <c r="B217" s="52"/>
      <c r="C217" s="52"/>
      <c r="D217" s="52"/>
      <c r="E217" s="52"/>
      <c r="F217" s="52"/>
      <c r="G217" s="52"/>
    </row>
    <row r="218">
      <c r="A218" s="52"/>
      <c r="B218" s="52"/>
      <c r="C218" s="52"/>
      <c r="D218" s="52"/>
      <c r="E218" s="52"/>
      <c r="F218" s="52"/>
      <c r="G218" s="52"/>
    </row>
    <row r="219">
      <c r="A219" s="52"/>
      <c r="B219" s="52"/>
      <c r="C219" s="52"/>
      <c r="D219" s="52"/>
      <c r="E219" s="52"/>
      <c r="F219" s="52"/>
      <c r="G219" s="52"/>
    </row>
    <row r="220">
      <c r="A220" s="52"/>
      <c r="B220" s="52"/>
      <c r="C220" s="52"/>
      <c r="D220" s="52"/>
      <c r="E220" s="52"/>
      <c r="F220" s="52"/>
      <c r="G220" s="52"/>
    </row>
    <row r="221">
      <c r="A221" s="52"/>
      <c r="B221" s="52"/>
      <c r="C221" s="52"/>
      <c r="D221" s="52"/>
      <c r="E221" s="52"/>
      <c r="F221" s="52"/>
      <c r="G221" s="52"/>
    </row>
    <row r="222">
      <c r="A222" s="52"/>
      <c r="B222" s="52"/>
      <c r="C222" s="52"/>
      <c r="D222" s="52"/>
      <c r="E222" s="52"/>
      <c r="F222" s="52"/>
      <c r="G222" s="52"/>
    </row>
    <row r="223">
      <c r="A223" s="52"/>
      <c r="B223" s="52"/>
      <c r="C223" s="52"/>
      <c r="D223" s="52"/>
      <c r="E223" s="52"/>
      <c r="F223" s="52"/>
      <c r="G223" s="52"/>
    </row>
    <row r="224">
      <c r="A224" s="52"/>
      <c r="B224" s="52"/>
      <c r="C224" s="52"/>
      <c r="D224" s="52"/>
      <c r="E224" s="52"/>
      <c r="F224" s="52"/>
      <c r="G224" s="52"/>
    </row>
    <row r="225">
      <c r="A225" s="52"/>
      <c r="B225" s="52"/>
      <c r="C225" s="52"/>
      <c r="D225" s="52"/>
      <c r="E225" s="52"/>
      <c r="F225" s="52"/>
      <c r="G225" s="52"/>
    </row>
    <row r="226">
      <c r="A226" s="52"/>
      <c r="B226" s="52"/>
      <c r="C226" s="52"/>
      <c r="D226" s="52"/>
      <c r="E226" s="52"/>
      <c r="F226" s="52"/>
      <c r="G226" s="52"/>
    </row>
    <row r="227">
      <c r="A227" s="52"/>
      <c r="B227" s="52"/>
      <c r="C227" s="52"/>
      <c r="D227" s="52"/>
      <c r="E227" s="52"/>
      <c r="F227" s="52"/>
      <c r="G227" s="52"/>
    </row>
    <row r="228">
      <c r="A228" s="52"/>
      <c r="B228" s="52"/>
      <c r="C228" s="52"/>
      <c r="D228" s="52"/>
      <c r="E228" s="52"/>
      <c r="F228" s="52"/>
      <c r="G228" s="52"/>
    </row>
    <row r="229">
      <c r="A229" s="52"/>
      <c r="B229" s="52"/>
      <c r="C229" s="52"/>
      <c r="D229" s="52"/>
      <c r="E229" s="52"/>
      <c r="F229" s="52"/>
      <c r="G229" s="52"/>
    </row>
    <row r="230">
      <c r="A230" s="52"/>
      <c r="B230" s="52"/>
      <c r="C230" s="52"/>
      <c r="D230" s="52"/>
      <c r="E230" s="52"/>
      <c r="F230" s="52"/>
      <c r="G230" s="52"/>
    </row>
    <row r="231">
      <c r="A231" s="52"/>
      <c r="B231" s="52"/>
      <c r="C231" s="52"/>
      <c r="D231" s="52"/>
      <c r="E231" s="52"/>
      <c r="F231" s="52"/>
      <c r="G231" s="52"/>
    </row>
    <row r="232">
      <c r="A232" s="52"/>
      <c r="B232" s="52"/>
      <c r="C232" s="52"/>
      <c r="D232" s="52"/>
      <c r="E232" s="52"/>
      <c r="F232" s="52"/>
      <c r="G232" s="52"/>
    </row>
    <row r="233">
      <c r="A233" s="52"/>
      <c r="B233" s="52"/>
      <c r="C233" s="52"/>
      <c r="D233" s="52"/>
      <c r="E233" s="52"/>
      <c r="F233" s="52"/>
      <c r="G233" s="52"/>
    </row>
    <row r="234">
      <c r="A234" s="52"/>
      <c r="B234" s="52"/>
      <c r="C234" s="52"/>
      <c r="D234" s="52"/>
      <c r="E234" s="52"/>
      <c r="F234" s="52"/>
      <c r="G234" s="52"/>
    </row>
    <row r="235">
      <c r="A235" s="52"/>
      <c r="B235" s="52"/>
      <c r="C235" s="52"/>
      <c r="D235" s="52"/>
      <c r="E235" s="52"/>
      <c r="F235" s="52"/>
      <c r="G235" s="52"/>
    </row>
    <row r="236">
      <c r="A236" s="52"/>
      <c r="B236" s="52"/>
      <c r="C236" s="52"/>
      <c r="D236" s="52"/>
      <c r="E236" s="52"/>
      <c r="F236" s="52"/>
      <c r="G236" s="52"/>
    </row>
    <row r="237">
      <c r="A237" s="52"/>
      <c r="B237" s="52"/>
      <c r="C237" s="52"/>
      <c r="D237" s="52"/>
      <c r="E237" s="52"/>
      <c r="F237" s="52"/>
      <c r="G237" s="52"/>
    </row>
    <row r="238">
      <c r="A238" s="52"/>
      <c r="B238" s="52"/>
      <c r="C238" s="52"/>
      <c r="D238" s="52"/>
      <c r="E238" s="52"/>
      <c r="F238" s="52"/>
      <c r="G238" s="52"/>
    </row>
    <row r="239">
      <c r="A239" s="52"/>
      <c r="B239" s="52"/>
      <c r="C239" s="52"/>
      <c r="D239" s="52"/>
      <c r="E239" s="52"/>
      <c r="F239" s="52"/>
      <c r="G239" s="52"/>
    </row>
    <row r="240">
      <c r="A240" s="52"/>
      <c r="B240" s="52"/>
      <c r="C240" s="52"/>
      <c r="D240" s="52"/>
      <c r="E240" s="52"/>
      <c r="F240" s="52"/>
      <c r="G240" s="52"/>
    </row>
    <row r="241">
      <c r="A241" s="52"/>
      <c r="B241" s="52"/>
      <c r="C241" s="52"/>
      <c r="D241" s="52"/>
      <c r="E241" s="52"/>
      <c r="F241" s="52"/>
      <c r="G241" s="52"/>
    </row>
    <row r="242">
      <c r="A242" s="52"/>
      <c r="B242" s="52"/>
      <c r="C242" s="52"/>
      <c r="D242" s="52"/>
      <c r="E242" s="52"/>
      <c r="F242" s="52"/>
      <c r="G242" s="52"/>
    </row>
    <row r="243">
      <c r="A243" s="52"/>
      <c r="B243" s="52"/>
      <c r="C243" s="52"/>
      <c r="D243" s="52"/>
      <c r="E243" s="52"/>
      <c r="F243" s="52"/>
      <c r="G243" s="52"/>
    </row>
    <row r="244">
      <c r="A244" s="52"/>
      <c r="B244" s="52"/>
      <c r="C244" s="52"/>
      <c r="D244" s="52"/>
      <c r="E244" s="52"/>
      <c r="F244" s="52"/>
      <c r="G244" s="52"/>
    </row>
    <row r="245">
      <c r="A245" s="52"/>
      <c r="B245" s="52"/>
      <c r="C245" s="52"/>
      <c r="D245" s="52"/>
      <c r="E245" s="52"/>
      <c r="F245" s="52"/>
      <c r="G245" s="52"/>
    </row>
    <row r="246">
      <c r="A246" s="52"/>
      <c r="B246" s="52"/>
      <c r="C246" s="52"/>
      <c r="D246" s="52"/>
      <c r="E246" s="52"/>
      <c r="F246" s="52"/>
      <c r="G246" s="52"/>
    </row>
    <row r="247">
      <c r="A247" s="52"/>
      <c r="B247" s="52"/>
      <c r="C247" s="52"/>
      <c r="D247" s="52"/>
      <c r="E247" s="52"/>
      <c r="F247" s="52"/>
      <c r="G247" s="52"/>
    </row>
    <row r="248">
      <c r="A248" s="52"/>
      <c r="B248" s="52"/>
      <c r="C248" s="52"/>
      <c r="D248" s="52"/>
      <c r="E248" s="52"/>
      <c r="F248" s="52"/>
      <c r="G248" s="52"/>
    </row>
    <row r="249">
      <c r="A249" s="52"/>
      <c r="B249" s="52"/>
      <c r="C249" s="52"/>
      <c r="D249" s="52"/>
      <c r="E249" s="52"/>
      <c r="F249" s="52"/>
      <c r="G249" s="52"/>
    </row>
    <row r="250">
      <c r="A250" s="52"/>
      <c r="B250" s="52"/>
      <c r="C250" s="52"/>
      <c r="D250" s="52"/>
      <c r="E250" s="52"/>
      <c r="F250" s="52"/>
      <c r="G250" s="52"/>
    </row>
    <row r="251">
      <c r="A251" s="52"/>
      <c r="B251" s="52"/>
      <c r="C251" s="52"/>
      <c r="D251" s="52"/>
      <c r="E251" s="52"/>
      <c r="F251" s="52"/>
      <c r="G251" s="52"/>
    </row>
    <row r="252">
      <c r="A252" s="52"/>
      <c r="B252" s="52"/>
      <c r="C252" s="52"/>
      <c r="D252" s="52"/>
      <c r="E252" s="52"/>
      <c r="F252" s="52"/>
      <c r="G252" s="52"/>
    </row>
    <row r="253">
      <c r="A253" s="52"/>
      <c r="B253" s="52"/>
      <c r="C253" s="52"/>
      <c r="D253" s="52"/>
      <c r="E253" s="52"/>
      <c r="F253" s="52"/>
      <c r="G253" s="52"/>
    </row>
    <row r="254">
      <c r="A254" s="52"/>
      <c r="B254" s="52"/>
      <c r="C254" s="52"/>
      <c r="D254" s="52"/>
      <c r="E254" s="52"/>
      <c r="F254" s="52"/>
      <c r="G254" s="52"/>
    </row>
    <row r="255">
      <c r="A255" s="52"/>
      <c r="B255" s="52"/>
      <c r="C255" s="52"/>
      <c r="D255" s="52"/>
      <c r="E255" s="52"/>
      <c r="F255" s="52"/>
      <c r="G255" s="52"/>
    </row>
    <row r="256">
      <c r="A256" s="52"/>
      <c r="B256" s="52"/>
      <c r="C256" s="52"/>
      <c r="D256" s="52"/>
      <c r="E256" s="52"/>
      <c r="F256" s="52"/>
      <c r="G256" s="52"/>
    </row>
    <row r="257">
      <c r="A257" s="52"/>
      <c r="B257" s="52"/>
      <c r="C257" s="52"/>
      <c r="D257" s="52"/>
      <c r="E257" s="52"/>
      <c r="F257" s="52"/>
      <c r="G257" s="52"/>
    </row>
    <row r="258">
      <c r="A258" s="52"/>
      <c r="B258" s="52"/>
      <c r="C258" s="52"/>
      <c r="D258" s="52"/>
      <c r="E258" s="52"/>
      <c r="F258" s="52"/>
      <c r="G258" s="52"/>
    </row>
    <row r="259">
      <c r="A259" s="52"/>
      <c r="B259" s="52"/>
      <c r="C259" s="52"/>
      <c r="D259" s="52"/>
      <c r="E259" s="52"/>
      <c r="F259" s="52"/>
      <c r="G259" s="52"/>
    </row>
    <row r="260">
      <c r="A260" s="52"/>
      <c r="B260" s="52"/>
      <c r="C260" s="52"/>
      <c r="D260" s="52"/>
      <c r="E260" s="52"/>
      <c r="F260" s="52"/>
      <c r="G260" s="52"/>
    </row>
    <row r="261">
      <c r="A261" s="52"/>
      <c r="B261" s="52"/>
      <c r="C261" s="52"/>
      <c r="D261" s="52"/>
      <c r="E261" s="52"/>
      <c r="F261" s="52"/>
      <c r="G261" s="52"/>
    </row>
    <row r="262">
      <c r="A262" s="52"/>
      <c r="B262" s="52"/>
      <c r="C262" s="52"/>
      <c r="D262" s="52"/>
      <c r="E262" s="52"/>
      <c r="F262" s="52"/>
      <c r="G262" s="52"/>
    </row>
    <row r="263">
      <c r="A263" s="52"/>
      <c r="B263" s="52"/>
      <c r="C263" s="52"/>
      <c r="D263" s="52"/>
      <c r="E263" s="52"/>
      <c r="F263" s="52"/>
      <c r="G263" s="52"/>
    </row>
    <row r="264">
      <c r="A264" s="52"/>
      <c r="B264" s="52"/>
      <c r="C264" s="52"/>
      <c r="D264" s="52"/>
      <c r="E264" s="52"/>
      <c r="F264" s="52"/>
      <c r="G264" s="52"/>
    </row>
    <row r="265">
      <c r="A265" s="52"/>
      <c r="B265" s="52"/>
      <c r="C265" s="52"/>
      <c r="D265" s="52"/>
      <c r="E265" s="52"/>
      <c r="F265" s="52"/>
      <c r="G265" s="52"/>
    </row>
    <row r="266">
      <c r="A266" s="52"/>
      <c r="B266" s="52"/>
      <c r="C266" s="52"/>
      <c r="D266" s="52"/>
      <c r="E266" s="52"/>
      <c r="F266" s="52"/>
      <c r="G266" s="52"/>
    </row>
    <row r="267">
      <c r="A267" s="52"/>
      <c r="B267" s="52"/>
      <c r="C267" s="52"/>
      <c r="D267" s="52"/>
      <c r="E267" s="52"/>
      <c r="F267" s="52"/>
      <c r="G267" s="52"/>
    </row>
    <row r="268">
      <c r="A268" s="52"/>
      <c r="B268" s="52"/>
      <c r="C268" s="52"/>
      <c r="D268" s="52"/>
      <c r="E268" s="52"/>
      <c r="F268" s="52"/>
      <c r="G268" s="52"/>
    </row>
    <row r="269">
      <c r="A269" s="52"/>
      <c r="B269" s="52"/>
      <c r="C269" s="52"/>
      <c r="D269" s="52"/>
      <c r="E269" s="52"/>
      <c r="F269" s="52"/>
      <c r="G269" s="52"/>
    </row>
    <row r="270">
      <c r="A270" s="52"/>
      <c r="B270" s="52"/>
      <c r="C270" s="52"/>
      <c r="D270" s="52"/>
      <c r="E270" s="52"/>
      <c r="F270" s="52"/>
      <c r="G270" s="52"/>
    </row>
    <row r="271">
      <c r="A271" s="52"/>
      <c r="B271" s="52"/>
      <c r="C271" s="52"/>
      <c r="D271" s="52"/>
      <c r="E271" s="52"/>
      <c r="F271" s="52"/>
      <c r="G271" s="52"/>
    </row>
    <row r="272">
      <c r="A272" s="52"/>
      <c r="B272" s="52"/>
      <c r="C272" s="52"/>
      <c r="D272" s="52"/>
      <c r="E272" s="52"/>
      <c r="F272" s="52"/>
      <c r="G272" s="52"/>
    </row>
    <row r="273">
      <c r="A273" s="52"/>
      <c r="B273" s="52"/>
      <c r="C273" s="52"/>
      <c r="D273" s="52"/>
      <c r="E273" s="52"/>
      <c r="F273" s="52"/>
      <c r="G273" s="52"/>
    </row>
    <row r="274">
      <c r="A274" s="52"/>
      <c r="B274" s="52"/>
      <c r="C274" s="52"/>
      <c r="D274" s="52"/>
      <c r="E274" s="52"/>
      <c r="F274" s="52"/>
      <c r="G274" s="52"/>
    </row>
    <row r="275">
      <c r="A275" s="52"/>
      <c r="B275" s="52"/>
      <c r="C275" s="52"/>
      <c r="D275" s="52"/>
      <c r="E275" s="52"/>
      <c r="F275" s="52"/>
      <c r="G275" s="52"/>
    </row>
    <row r="276">
      <c r="A276" s="52"/>
      <c r="B276" s="52"/>
      <c r="C276" s="52"/>
      <c r="D276" s="52"/>
      <c r="E276" s="52"/>
      <c r="F276" s="52"/>
      <c r="G276" s="52"/>
    </row>
    <row r="277">
      <c r="A277" s="52"/>
      <c r="B277" s="52"/>
      <c r="C277" s="52"/>
      <c r="D277" s="52"/>
      <c r="E277" s="52"/>
      <c r="F277" s="52"/>
      <c r="G277" s="52"/>
    </row>
    <row r="278">
      <c r="A278" s="52"/>
      <c r="B278" s="52"/>
      <c r="C278" s="52"/>
      <c r="D278" s="52"/>
      <c r="E278" s="52"/>
      <c r="F278" s="52"/>
      <c r="G278" s="52"/>
    </row>
    <row r="279">
      <c r="A279" s="52"/>
      <c r="B279" s="52"/>
      <c r="C279" s="52"/>
      <c r="D279" s="52"/>
      <c r="E279" s="52"/>
      <c r="F279" s="52"/>
      <c r="G279" s="52"/>
    </row>
    <row r="280">
      <c r="A280" s="52"/>
      <c r="B280" s="52"/>
      <c r="C280" s="52"/>
      <c r="D280" s="52"/>
      <c r="E280" s="52"/>
      <c r="F280" s="52"/>
      <c r="G280" s="52"/>
    </row>
    <row r="281">
      <c r="A281" s="52"/>
      <c r="B281" s="52"/>
      <c r="C281" s="52"/>
      <c r="D281" s="52"/>
      <c r="E281" s="52"/>
      <c r="F281" s="52"/>
      <c r="G281" s="52"/>
    </row>
    <row r="282">
      <c r="A282" s="52"/>
      <c r="B282" s="52"/>
      <c r="C282" s="52"/>
      <c r="D282" s="52"/>
      <c r="E282" s="52"/>
      <c r="F282" s="52"/>
      <c r="G282" s="52"/>
    </row>
    <row r="283">
      <c r="A283" s="52"/>
      <c r="B283" s="52"/>
      <c r="C283" s="52"/>
      <c r="D283" s="52"/>
      <c r="E283" s="52"/>
      <c r="F283" s="52"/>
      <c r="G283" s="52"/>
    </row>
    <row r="284">
      <c r="A284" s="52"/>
      <c r="B284" s="52"/>
      <c r="C284" s="52"/>
      <c r="D284" s="52"/>
      <c r="E284" s="52"/>
      <c r="F284" s="52"/>
      <c r="G284" s="52"/>
    </row>
    <row r="285">
      <c r="A285" s="52"/>
      <c r="B285" s="52"/>
      <c r="C285" s="52"/>
      <c r="D285" s="52"/>
      <c r="E285" s="52"/>
      <c r="F285" s="52"/>
      <c r="G285" s="52"/>
    </row>
    <row r="286">
      <c r="A286" s="52"/>
      <c r="B286" s="52"/>
      <c r="C286" s="52"/>
      <c r="D286" s="52"/>
      <c r="E286" s="52"/>
      <c r="F286" s="52"/>
      <c r="G286" s="52"/>
    </row>
    <row r="287">
      <c r="A287" s="52"/>
      <c r="B287" s="52"/>
      <c r="C287" s="52"/>
      <c r="D287" s="52"/>
      <c r="E287" s="52"/>
      <c r="F287" s="52"/>
      <c r="G287" s="52"/>
    </row>
    <row r="288">
      <c r="A288" s="52"/>
      <c r="B288" s="52"/>
      <c r="C288" s="52"/>
      <c r="D288" s="52"/>
      <c r="E288" s="52"/>
      <c r="F288" s="52"/>
      <c r="G288" s="52"/>
    </row>
    <row r="289">
      <c r="A289" s="52"/>
      <c r="B289" s="52"/>
      <c r="C289" s="52"/>
      <c r="D289" s="52"/>
      <c r="E289" s="52"/>
      <c r="F289" s="52"/>
      <c r="G289" s="52"/>
    </row>
    <row r="290">
      <c r="A290" s="52"/>
      <c r="B290" s="52"/>
      <c r="C290" s="52"/>
      <c r="D290" s="52"/>
      <c r="E290" s="52"/>
      <c r="F290" s="52"/>
      <c r="G290" s="52"/>
    </row>
    <row r="291">
      <c r="A291" s="52"/>
      <c r="B291" s="52"/>
      <c r="C291" s="52"/>
      <c r="D291" s="52"/>
      <c r="E291" s="52"/>
      <c r="F291" s="52"/>
      <c r="G291" s="52"/>
    </row>
    <row r="292">
      <c r="A292" s="52"/>
      <c r="B292" s="52"/>
      <c r="C292" s="52"/>
      <c r="D292" s="52"/>
      <c r="E292" s="52"/>
      <c r="F292" s="52"/>
      <c r="G292" s="52"/>
    </row>
    <row r="293">
      <c r="A293" s="52"/>
      <c r="B293" s="52"/>
      <c r="C293" s="52"/>
      <c r="D293" s="52"/>
      <c r="E293" s="52"/>
      <c r="F293" s="52"/>
      <c r="G293" s="52"/>
    </row>
    <row r="294">
      <c r="A294" s="52"/>
      <c r="B294" s="52"/>
      <c r="C294" s="52"/>
      <c r="D294" s="52"/>
      <c r="E294" s="52"/>
      <c r="F294" s="52"/>
      <c r="G294" s="52"/>
    </row>
    <row r="295">
      <c r="A295" s="52"/>
      <c r="B295" s="52"/>
      <c r="C295" s="52"/>
      <c r="D295" s="52"/>
      <c r="E295" s="52"/>
      <c r="F295" s="52"/>
      <c r="G295" s="52"/>
    </row>
    <row r="296">
      <c r="A296" s="52"/>
      <c r="B296" s="52"/>
      <c r="C296" s="52"/>
      <c r="D296" s="52"/>
      <c r="E296" s="52"/>
      <c r="F296" s="52"/>
      <c r="G296" s="52"/>
    </row>
    <row r="297">
      <c r="A297" s="52"/>
      <c r="B297" s="52"/>
      <c r="C297" s="52"/>
      <c r="D297" s="52"/>
      <c r="E297" s="52"/>
      <c r="F297" s="52"/>
      <c r="G297" s="52"/>
    </row>
    <row r="298">
      <c r="A298" s="52"/>
      <c r="B298" s="52"/>
      <c r="C298" s="52"/>
      <c r="D298" s="52"/>
      <c r="E298" s="52"/>
      <c r="F298" s="52"/>
      <c r="G298" s="52"/>
    </row>
    <row r="299">
      <c r="A299" s="52"/>
      <c r="B299" s="52"/>
      <c r="C299" s="52"/>
      <c r="D299" s="52"/>
      <c r="E299" s="52"/>
      <c r="F299" s="52"/>
      <c r="G299" s="52"/>
    </row>
    <row r="300">
      <c r="A300" s="52"/>
      <c r="B300" s="52"/>
      <c r="C300" s="52"/>
      <c r="D300" s="52"/>
      <c r="E300" s="52"/>
      <c r="F300" s="52"/>
      <c r="G300" s="52"/>
    </row>
    <row r="301">
      <c r="A301" s="52"/>
      <c r="B301" s="52"/>
      <c r="C301" s="52"/>
      <c r="D301" s="52"/>
      <c r="E301" s="52"/>
      <c r="F301" s="52"/>
      <c r="G301" s="52"/>
    </row>
    <row r="302">
      <c r="A302" s="52"/>
      <c r="B302" s="52"/>
      <c r="C302" s="52"/>
      <c r="D302" s="52"/>
      <c r="E302" s="52"/>
      <c r="F302" s="52"/>
      <c r="G302" s="52"/>
    </row>
    <row r="303">
      <c r="A303" s="52"/>
      <c r="B303" s="52"/>
      <c r="C303" s="52"/>
      <c r="D303" s="52"/>
      <c r="E303" s="52"/>
      <c r="F303" s="52"/>
      <c r="G303" s="52"/>
    </row>
    <row r="304">
      <c r="A304" s="52"/>
      <c r="B304" s="52"/>
      <c r="C304" s="52"/>
      <c r="D304" s="52"/>
      <c r="E304" s="52"/>
      <c r="F304" s="52"/>
      <c r="G304" s="52"/>
    </row>
    <row r="305">
      <c r="A305" s="52"/>
      <c r="B305" s="52"/>
      <c r="C305" s="52"/>
      <c r="D305" s="52"/>
      <c r="E305" s="52"/>
      <c r="F305" s="52"/>
      <c r="G305" s="52"/>
    </row>
    <row r="306">
      <c r="A306" s="52"/>
      <c r="B306" s="52"/>
      <c r="C306" s="52"/>
      <c r="D306" s="52"/>
      <c r="E306" s="52"/>
      <c r="F306" s="52"/>
      <c r="G306" s="52"/>
    </row>
    <row r="307">
      <c r="A307" s="52"/>
      <c r="B307" s="52"/>
      <c r="C307" s="52"/>
      <c r="D307" s="52"/>
      <c r="E307" s="52"/>
      <c r="F307" s="52"/>
      <c r="G307" s="52"/>
    </row>
  </sheetData>
  <mergeCells count="13">
    <mergeCell ref="E5:F5"/>
    <mergeCell ref="A7:G7"/>
    <mergeCell ref="A11:G11"/>
    <mergeCell ref="A12:G12"/>
    <mergeCell ref="A27:G27"/>
    <mergeCell ref="A43:G43"/>
    <mergeCell ref="A1:G1"/>
    <mergeCell ref="A2:G2"/>
    <mergeCell ref="A4:B4"/>
    <mergeCell ref="C4:D4"/>
    <mergeCell ref="E4:F4"/>
    <mergeCell ref="A5:B5"/>
    <mergeCell ref="C5:D5"/>
  </mergeCells>
  <drawing r:id="rId1"/>
</worksheet>
</file>